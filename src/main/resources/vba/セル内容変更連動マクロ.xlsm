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シミュレーションVBA\成果物\"/>
    </mc:Choice>
  </mc:AlternateContent>
  <bookViews>
    <workbookView xWindow="0" yWindow="0" windowWidth="19200" windowHeight="6972" tabRatio="778" firstSheet="1" activeTab="2"/>
  </bookViews>
  <sheets>
    <sheet name="20171117_仕訳結果" sheetId="5" state="hidden" r:id="rId1"/>
    <sheet name="⑥コストシミュレーション表" sheetId="14" r:id="rId2"/>
    <sheet name="コストシミュレーション表" sheetId="29" r:id="rId3"/>
    <sheet name="コスト一覧" sheetId="31" r:id="rId4"/>
    <sheet name="⑦その他費用" sheetId="24" r:id="rId5"/>
    <sheet name="構成パターン比率" sheetId="28" r:id="rId6"/>
    <sheet name="構成パターン比率 (DR版)" sheetId="30" r:id="rId7"/>
    <sheet name="構成決定チェックシート" sheetId="27" r:id="rId8"/>
  </sheets>
  <externalReferences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</externalReferences>
  <definedNames>
    <definedName name="__SB1">'[1]ワイズマン#5-1_ラック構成図_20110628.xlsx'!__SB1</definedName>
    <definedName name="__SB2">'[1]ワイズマン#5-1_ラック構成図_20110628.xlsx'!__SB2</definedName>
    <definedName name="__SB3">'[1]ワイズマン#5-1_ラック構成図_20110628.xlsx'!__SB3</definedName>
    <definedName name="__SB4">'[1]ワイズマン#5-1_ラック構成図_20110628.xlsx'!__SB4</definedName>
    <definedName name="_2_1_B" localSheetId="5">#REF!</definedName>
    <definedName name="_2_1_B">#REF!</definedName>
    <definedName name="_Order1" hidden="1">255</definedName>
    <definedName name="_Regression_X" localSheetId="5" hidden="1">#REF!</definedName>
    <definedName name="_Regression_X" hidden="1">#REF!</definedName>
    <definedName name="_SB1">[2]!_SB1</definedName>
    <definedName name="_SB2">[2]!_SB2</definedName>
    <definedName name="_SB3">[2]!_SB3</definedName>
    <definedName name="_SB4">[2]!_SB4</definedName>
    <definedName name="a" localSheetId="5" hidden="1">#REF!</definedName>
    <definedName name="a" hidden="1">#REF!</definedName>
    <definedName name="AA" localSheetId="5" hidden="1">#REF!</definedName>
    <definedName name="AA" hidden="1">#REF!</definedName>
    <definedName name="ａａａ" localSheetId="5" hidden="1">#REF!</definedName>
    <definedName name="ａａａ" hidden="1">#REF!</definedName>
    <definedName name="aaaa" localSheetId="5" hidden="1">{"'変更後'!$B$6:$N$12"}</definedName>
    <definedName name="aaaa" hidden="1">{"'変更後'!$B$6:$N$12"}</definedName>
    <definedName name="aanew" localSheetId="5" hidden="1">{"'変更後'!$B$6:$N$12"}</definedName>
    <definedName name="aanew" hidden="1">{"'変更後'!$B$6:$N$12"}</definedName>
    <definedName name="ab" localSheetId="5" hidden="1">{"'変更後'!$B$6:$N$12"}</definedName>
    <definedName name="ab" hidden="1">{"'変更後'!$B$6:$N$12"}</definedName>
    <definedName name="ALL_HATTYU1" localSheetId="5">#REF!</definedName>
    <definedName name="ALL_HATTYU1">#REF!</definedName>
    <definedName name="ALL_HATTYU2" localSheetId="5">#REF!</definedName>
    <definedName name="ALL_HATTYU2">#REF!</definedName>
    <definedName name="ALL_HATTYU3" localSheetId="5">#REF!</definedName>
    <definedName name="ALL_HATTYU3">#REF!</definedName>
    <definedName name="ALL_HATTYU4" localSheetId="5">#REF!</definedName>
    <definedName name="ALL_HATTYU4">#REF!</definedName>
    <definedName name="ALL_HATTYU5" localSheetId="5">#REF!</definedName>
    <definedName name="ALL_HATTYU5">#REF!</definedName>
    <definedName name="ALL_HATTYU6" localSheetId="5">#REF!</definedName>
    <definedName name="ALL_HATTYU6">#REF!</definedName>
    <definedName name="ALL_HATTYU7" localSheetId="5">#REF!</definedName>
    <definedName name="ALL_HATTYU7">#REF!</definedName>
    <definedName name="ALL_HATTYU8" localSheetId="5">#REF!</definedName>
    <definedName name="ALL_HATTYU8">#REF!</definedName>
    <definedName name="ALL_NOUHIN" localSheetId="5">#REF!</definedName>
    <definedName name="ALL_NOUHIN">#REF!</definedName>
    <definedName name="ALL_SEIKYU" localSheetId="5">#REF!</definedName>
    <definedName name="ALL_SEIKYU">#REF!</definedName>
    <definedName name="ALL_UKESHO" localSheetId="5">#REF!</definedName>
    <definedName name="ALL_UKESHO">#REF!</definedName>
    <definedName name="APCOM" localSheetId="5">#REF!</definedName>
    <definedName name="APCOM">#REF!</definedName>
    <definedName name="ATESAKI" localSheetId="5">[3]MKI見積!#REF!</definedName>
    <definedName name="ATESAKI">[3]MKI見積!#REF!</definedName>
    <definedName name="AWS_EBS価格表">[4]EBS!$A$1:$B$29</definedName>
    <definedName name="b" localSheetId="5" hidden="1">{"'変更後'!$B$6:$N$12"}</definedName>
    <definedName name="b" hidden="1">{"'変更後'!$B$6:$N$12"}</definedName>
    <definedName name="BackupEXEC9.0" localSheetId="5" hidden="1">{"'変更後'!$B$6:$N$12"}</definedName>
    <definedName name="BackupEXEC9.0" hidden="1">{"'変更後'!$B$6:$N$12"}</definedName>
    <definedName name="BANGO" localSheetId="5">[3]MKI見積!#REF!</definedName>
    <definedName name="BANGO">[3]MKI見積!#REF!</definedName>
    <definedName name="bb" localSheetId="5">[5]機器明細表!#REF!</definedName>
    <definedName name="bb">[5]機器明細表!#REF!</definedName>
    <definedName name="bbb" localSheetId="5">#REF!</definedName>
    <definedName name="bbb">#REF!</definedName>
    <definedName name="bbbb" localSheetId="5" hidden="1">{"'変更後'!$B$6:$N$12"}</definedName>
    <definedName name="bbbb" hidden="1">{"'変更後'!$B$6:$N$12"}</definedName>
    <definedName name="bCancel_Click">[6]!bCancel_Click</definedName>
    <definedName name="bOk_Click">[6]!bOk_Click</definedName>
    <definedName name="CBANGO" localSheetId="5">#REF!</definedName>
    <definedName name="CBANGO">#REF!</definedName>
    <definedName name="cc" localSheetId="5" hidden="1">{"'変更後'!$B$6:$N$12"}</definedName>
    <definedName name="cc" hidden="1">{"'変更後'!$B$6:$N$12"}</definedName>
    <definedName name="ccc" localSheetId="5">#REF!</definedName>
    <definedName name="ccc">#REF!</definedName>
    <definedName name="CDUT" localSheetId="5">#REF!</definedName>
    <definedName name="CDUT">#REF!</definedName>
    <definedName name="ChCHECK1">[2]!ChCHECK1</definedName>
    <definedName name="CHOKU" localSheetId="5">#REF!</definedName>
    <definedName name="CHOKU">#REF!</definedName>
    <definedName name="COMA" localSheetId="5">#REF!</definedName>
    <definedName name="COMA">#REF!</definedName>
    <definedName name="COMB" localSheetId="5">#REF!</definedName>
    <definedName name="COMB">#REF!</definedName>
    <definedName name="COMC" localSheetId="5">#REF!</definedName>
    <definedName name="COMC">#REF!</definedName>
    <definedName name="COMS" localSheetId="5">#REF!</definedName>
    <definedName name="COMS">#REF!</definedName>
    <definedName name="CONT" localSheetId="5">#REF!</definedName>
    <definedName name="CONT">#REF!</definedName>
    <definedName name="CPLUS" localSheetId="5">#REF!</definedName>
    <definedName name="CPLUS">#REF!</definedName>
    <definedName name="data11" localSheetId="5">#REF!</definedName>
    <definedName name="data11">#REF!</definedName>
    <definedName name="data12" localSheetId="5">#REF!</definedName>
    <definedName name="data12">#REF!</definedName>
    <definedName name="data21" localSheetId="5">#REF!</definedName>
    <definedName name="data21">#REF!</definedName>
    <definedName name="data22" localSheetId="5">#REF!</definedName>
    <definedName name="data22">#REF!</definedName>
    <definedName name="data31" localSheetId="5">#REF!</definedName>
    <definedName name="data31">#REF!</definedName>
    <definedName name="data32" localSheetId="5">#REF!</definedName>
    <definedName name="data32">#REF!</definedName>
    <definedName name="data41" localSheetId="5">#REF!</definedName>
    <definedName name="data41">#REF!</definedName>
    <definedName name="data42" localSheetId="5">#REF!</definedName>
    <definedName name="data42">#REF!</definedName>
    <definedName name="_xlnm.Database" localSheetId="5">[7]PR!#REF!</definedName>
    <definedName name="_xlnm.Database">[7]PR!#REF!</definedName>
    <definedName name="DD" localSheetId="5" hidden="1">#REF!</definedName>
    <definedName name="DD" hidden="1">#REF!</definedName>
    <definedName name="DDAREA" localSheetId="5">#REF!</definedName>
    <definedName name="DDAREA">#REF!</definedName>
    <definedName name="ddd">[8]SSA構成図!$A$1:$L$29</definedName>
    <definedName name="dka34_check">[2]!dka34_check</definedName>
    <definedName name="ECPlus_価格表">'[4]EC+'!$A$3:$P$75</definedName>
    <definedName name="eee" localSheetId="5">#REF!</definedName>
    <definedName name="eee">#REF!</definedName>
    <definedName name="Entity_Header" localSheetId="5">#REF!</definedName>
    <definedName name="Entity_Header">#REF!</definedName>
    <definedName name="ｆ">[2]!ｆ</definedName>
    <definedName name="ｆｄｇｆ">[2]!ｆｄｇｆ</definedName>
    <definedName name="ｆｆ">[2]!ｆｆ</definedName>
    <definedName name="ｆｆｆ">[2]!ｆｆｆ</definedName>
    <definedName name="ｆｆｆｆ">[2]!ｆｆｆｆ</definedName>
    <definedName name="ｆｒ">[2]!ｆｒ</definedName>
    <definedName name="Function">'[9]選択肢(個別)'!$G$2:$G$135</definedName>
    <definedName name="GOKEI" localSheetId="5">[3]MKI見積!#REF!</definedName>
    <definedName name="GOKEI">[3]MKI見積!#REF!</definedName>
    <definedName name="GP" localSheetId="5">#REF!</definedName>
    <definedName name="GP">#REF!</definedName>
    <definedName name="group_name">[10]日次進捗!$I$1</definedName>
    <definedName name="ＧＷメッセージ一覧" localSheetId="5" hidden="1">#REF!</definedName>
    <definedName name="ＧＷメッセージ一覧" hidden="1">#REF!</definedName>
    <definedName name="HDD_1GB単価">0.12</definedName>
    <definedName name="HDD_SNAPSHOT_1GB単価">0.05</definedName>
    <definedName name="HDD_SNAPSHOT_1GB転送単価">0.09</definedName>
    <definedName name="HITPGA" localSheetId="5">#REF!</definedName>
    <definedName name="HITPGA">#REF!</definedName>
    <definedName name="HITPGB" localSheetId="5">#REF!</definedName>
    <definedName name="HITPGB">#REF!</definedName>
    <definedName name="HITSEA" localSheetId="5">#REF!</definedName>
    <definedName name="HITSEA">#REF!</definedName>
    <definedName name="HITSEB" localSheetId="5">#REF!</definedName>
    <definedName name="HITSEB">#REF!</definedName>
    <definedName name="HITSES" localSheetId="5">#REF!</definedName>
    <definedName name="HITSES">#REF!</definedName>
    <definedName name="HOSEI" localSheetId="5">#REF!</definedName>
    <definedName name="HOSEI">#REF!</definedName>
    <definedName name="HTML_CodePage" hidden="1">932</definedName>
    <definedName name="HTML_Control" localSheetId="5" hidden="1">{"'変更後'!$B$6:$N$12"}</definedName>
    <definedName name="HTML_Control" hidden="1">{"'変更後'!$B$6:$N$12"}</definedName>
    <definedName name="HTML_Cor" localSheetId="5" hidden="1">{"'変更後'!$B$6:$N$12"}</definedName>
    <definedName name="HTML_Cor" hidden="1">{"'変更後'!$B$6:$N$12"}</definedName>
    <definedName name="HTML_Description" hidden="1">"やっほー"</definedName>
    <definedName name="HTML_Email" hidden="1">""</definedName>
    <definedName name="HTML_Header" hidden="1">"変更後"</definedName>
    <definedName name="HTML_LastUpdate" hidden="1">"11/04/05"</definedName>
    <definedName name="HTML_LineAfter" hidden="1">TRUE</definedName>
    <definedName name="HTML_LineBefore" hidden="1">TRUE</definedName>
    <definedName name="HTML_Name" hidden="1">"TGI"</definedName>
    <definedName name="HTML_OBDlg2" hidden="1">TRUE</definedName>
    <definedName name="HTML_OBDlg4" hidden="1">TRUE</definedName>
    <definedName name="HTML_OS" hidden="1">0</definedName>
    <definedName name="HTML_PathFile" hidden="1">"G:\info\Info99\IE401ｲﾝｽﾄｰﾙ手順(濱田)\MyHTML.htm"</definedName>
    <definedName name="HTML_Title" hidden="1">"OA99現状など"</definedName>
    <definedName name="HTML1_1" hidden="1">"[社内電話帳記入用紙.xls]役員室!$A$1:$G$8"</definedName>
    <definedName name="HTML1_10" hidden="1">""</definedName>
    <definedName name="HTML1_11" hidden="1">1</definedName>
    <definedName name="HTML1_12" hidden="1">"I:\YPC_Dpt_ISD\Global\部共有１\企画\情報共有\川村\内線番号Web化関連\収集ﾃﾞｰﾀ\小豆沢\変換済み\役員室１.htm"</definedName>
    <definedName name="HTML1_2" hidden="1">1</definedName>
    <definedName name="HTML1_3" hidden="1">""</definedName>
    <definedName name="HTML1_4" hidden="1">""</definedName>
    <definedName name="HTML1_5" hidden="1">""</definedName>
    <definedName name="HTML1_6" hidden="1">-4146</definedName>
    <definedName name="HTML1_7" hidden="1">-4146</definedName>
    <definedName name="HTML1_8" hidden="1">""</definedName>
    <definedName name="HTML1_9" hidden="1">""</definedName>
    <definedName name="HTML10_1" hidden="1">"'[社内電話帳記入用紙.xls]研開経営部（小豆沢）'!$A$1:$G$6"</definedName>
    <definedName name="HTML10_10" hidden="1">""</definedName>
    <definedName name="HTML10_11" hidden="1">1</definedName>
    <definedName name="HTML10_12" hidden="1">"I:\YPC_Dpt_ISD\Global\部共有１\企画\情報共有\川村\内線番号Web化関連\収集ﾃﾞｰﾀ\小豆沢\変換済み\研開経営部小豆沢.htm"</definedName>
    <definedName name="HTML10_2" hidden="1">1</definedName>
    <definedName name="HTML10_3" hidden="1">""</definedName>
    <definedName name="HTML10_4" hidden="1">""</definedName>
    <definedName name="HTML10_5" hidden="1">""</definedName>
    <definedName name="HTML10_6" hidden="1">-4146</definedName>
    <definedName name="HTML10_7" hidden="1">-4146</definedName>
    <definedName name="HTML10_8" hidden="1">""</definedName>
    <definedName name="HTML10_9" hidden="1">""</definedName>
    <definedName name="HTML11_1" hidden="1">"'[社内電話帳記入用紙.xls]研開経営部 ＲＩ管理室'!$A$1:$G$5"</definedName>
    <definedName name="HTML11_10" hidden="1">""</definedName>
    <definedName name="HTML11_11" hidden="1">1</definedName>
    <definedName name="HTML11_12" hidden="1">"I:\YPC_Dpt_ISD\Global\部共有１\企画\情報共有\川村\内線番号Web化関連\収集ﾃﾞｰﾀ\小豆沢\変換済み\研開経営部ＲＩ管理室.htm"</definedName>
    <definedName name="HTML11_2" hidden="1">1</definedName>
    <definedName name="HTML11_3" hidden="1">""</definedName>
    <definedName name="HTML11_4" hidden="1">""</definedName>
    <definedName name="HTML11_5" hidden="1">""</definedName>
    <definedName name="HTML11_6" hidden="1">-4146</definedName>
    <definedName name="HTML11_7" hidden="1">-4146</definedName>
    <definedName name="HTML11_8" hidden="1">""</definedName>
    <definedName name="HTML11_9" hidden="1">""</definedName>
    <definedName name="HTML12_1" hidden="1">"[社内電話帳記入用紙.xls]臨床統計部!$B$1:$G$31"</definedName>
    <definedName name="HTML12_10" hidden="1">""</definedName>
    <definedName name="HTML12_11" hidden="1">1</definedName>
    <definedName name="HTML12_12" hidden="1">"I:\YPC_Dpt_ISD\Global\部共有１\企画\情報共有\川村\内線番号Web化関連\収集ﾃﾞｰﾀ\小豆沢\変換済み\dept4.htm"</definedName>
    <definedName name="HTML12_2" hidden="1">1</definedName>
    <definedName name="HTML12_3" hidden="1">""</definedName>
    <definedName name="HTML12_4" hidden="1">""</definedName>
    <definedName name="HTML12_5" hidden="1">""</definedName>
    <definedName name="HTML12_6" hidden="1">-4146</definedName>
    <definedName name="HTML12_7" hidden="1">-4146</definedName>
    <definedName name="HTML12_8" hidden="1">""</definedName>
    <definedName name="HTML12_9" hidden="1">""</definedName>
    <definedName name="HTML13_1" hidden="1">"'[社内電話帳記入用紙.xls]研開経営部（小豆沢）'!$B$1:$G$6"</definedName>
    <definedName name="HTML13_10" hidden="1">""</definedName>
    <definedName name="HTML13_11" hidden="1">1</definedName>
    <definedName name="HTML13_12" hidden="1">"I:\YPC_Dpt_ISD\Global\部共有１\企画\情報共有\川村\内線番号Web化関連\収集ﾃﾞｰﾀ\小豆沢\変換済み\dept2.htm"</definedName>
    <definedName name="HTML13_2" hidden="1">1</definedName>
    <definedName name="HTML13_3" hidden="1">""</definedName>
    <definedName name="HTML13_4" hidden="1">""</definedName>
    <definedName name="HTML13_5" hidden="1">""</definedName>
    <definedName name="HTML13_6" hidden="1">-4146</definedName>
    <definedName name="HTML13_7" hidden="1">-4146</definedName>
    <definedName name="HTML13_8" hidden="1">""</definedName>
    <definedName name="HTML13_9" hidden="1">""</definedName>
    <definedName name="HTML14_1" hidden="1">"'[社内電話帳記入用紙.xls]研開経営部 ＲＩ管理室'!$B$1:$G$5"</definedName>
    <definedName name="HTML14_10" hidden="1">""</definedName>
    <definedName name="HTML14_11" hidden="1">1</definedName>
    <definedName name="HTML14_12" hidden="1">"I:\YPC_Dpt_ISD\Global\部共有１\企画\情報共有\川村\内線番号Web化関連\収集ﾃﾞｰﾀ\小豆沢\変換済み\研開経営部ＲＩ管理室.htm"</definedName>
    <definedName name="HTML14_2" hidden="1">1</definedName>
    <definedName name="HTML14_3" hidden="1">""</definedName>
    <definedName name="HTML14_4" hidden="1">""</definedName>
    <definedName name="HTML14_5" hidden="1">""</definedName>
    <definedName name="HTML14_6" hidden="1">-4146</definedName>
    <definedName name="HTML14_7" hidden="1">-4146</definedName>
    <definedName name="HTML14_8" hidden="1">""</definedName>
    <definedName name="HTML14_9" hidden="1">""</definedName>
    <definedName name="HTML15_1" hidden="1">"[社内電話帳記入用紙.xls]薬事監査部ＱＡ室!$B$1:$G$9"</definedName>
    <definedName name="HTML15_10" hidden="1">""</definedName>
    <definedName name="HTML15_11" hidden="1">1</definedName>
    <definedName name="HTML15_12" hidden="1">"I:\YPC_Dpt_ISD\Global\部共有１\企画\情報共有\川村\内線番号Web化関連\収集ﾃﾞｰﾀ\小豆沢\変換済み\dept5.htm"</definedName>
    <definedName name="HTML15_2" hidden="1">1</definedName>
    <definedName name="HTML15_3" hidden="1">""</definedName>
    <definedName name="HTML15_4" hidden="1">""</definedName>
    <definedName name="HTML15_5" hidden="1">""</definedName>
    <definedName name="HTML15_6" hidden="1">-4146</definedName>
    <definedName name="HTML15_7" hidden="1">-4146</definedName>
    <definedName name="HTML15_8" hidden="1">""</definedName>
    <definedName name="HTML15_9" hidden="1">""</definedName>
    <definedName name="HTML16_1" hidden="1">"[社内電話帳記入用紙.xls]情報システム部!$B$1:$G$10"</definedName>
    <definedName name="HTML16_10" hidden="1">""</definedName>
    <definedName name="HTML16_11" hidden="1">1</definedName>
    <definedName name="HTML16_12" hidden="1">"I:\YPC_Dpt_ISD\Global\部共有１\企画\情報共有\川村\内線番号Web化関連\収集ﾃﾞｰﾀ\小豆沢\変換済み\情報システム部.htm"</definedName>
    <definedName name="HTML16_2" hidden="1">1</definedName>
    <definedName name="HTML16_3" hidden="1">""</definedName>
    <definedName name="HTML16_4" hidden="1">""</definedName>
    <definedName name="HTML16_5" hidden="1">""</definedName>
    <definedName name="HTML16_6" hidden="1">-4146</definedName>
    <definedName name="HTML16_7" hidden="1">-4146</definedName>
    <definedName name="HTML16_8" hidden="1">""</definedName>
    <definedName name="HTML16_9" hidden="1">""</definedName>
    <definedName name="HTML17_1" hidden="1">"[社内電話帳記入用紙.xls]微生物研究所!$B$1:$H$42"</definedName>
    <definedName name="HTML17_10" hidden="1">""</definedName>
    <definedName name="HTML17_11" hidden="1">1</definedName>
    <definedName name="HTML17_12" hidden="1">"I:\YPC_Dpt_ISD\Global\部共有１\企画\情報共有\川村\内線番号Web化関連\収集ﾃﾞｰﾀ\小豆沢\変換済み\dept14.htm"</definedName>
    <definedName name="HTML17_2" hidden="1">1</definedName>
    <definedName name="HTML17_3" hidden="1">""</definedName>
    <definedName name="HTML17_4" hidden="1">""</definedName>
    <definedName name="HTML17_5" hidden="1">""</definedName>
    <definedName name="HTML17_6" hidden="1">-4146</definedName>
    <definedName name="HTML17_7" hidden="1">-4146</definedName>
    <definedName name="HTML17_8" hidden="1">""</definedName>
    <definedName name="HTML17_9" hidden="1">""</definedName>
    <definedName name="HTML18_1" hidden="1">"[社内電話帳記入用紙.xls]ｺﾝｼｭｰﾏｰ製品研究所!$B$1:$G$13"</definedName>
    <definedName name="HTML18_10" hidden="1">""</definedName>
    <definedName name="HTML18_11" hidden="1">1</definedName>
    <definedName name="HTML18_12" hidden="1">"I:\YPC_Dpt_ISD\Global\部共有１\企画\情報共有\川村\内線番号Web化関連\収集ﾃﾞｰﾀ\小豆沢\変換済み\dept15.htm"</definedName>
    <definedName name="HTML18_2" hidden="1">1</definedName>
    <definedName name="HTML18_3" hidden="1">""</definedName>
    <definedName name="HTML18_4" hidden="1">""</definedName>
    <definedName name="HTML18_5" hidden="1">""</definedName>
    <definedName name="HTML18_6" hidden="1">-4146</definedName>
    <definedName name="HTML18_7" hidden="1">-4146</definedName>
    <definedName name="HTML18_8" hidden="1">""</definedName>
    <definedName name="HTML18_9" hidden="1">""</definedName>
    <definedName name="HTML19_1" hidden="1">"[社内電話帳記入用紙.xls]小豆沢工場!$B$1:$G$10"</definedName>
    <definedName name="HTML19_10" hidden="1">""</definedName>
    <definedName name="HTML19_11" hidden="1">1</definedName>
    <definedName name="HTML19_12" hidden="1">"I:\YPC_Dpt_ISD\Global\部共有１\企画\情報共有\川村\内線番号Web化関連\収集ﾃﾞｰﾀ\小豆沢\変換済み\小豆沢工場製造管理担当.htm"</definedName>
    <definedName name="HTML19_2" hidden="1">1</definedName>
    <definedName name="HTML19_3" hidden="1">""</definedName>
    <definedName name="HTML19_4" hidden="1">""</definedName>
    <definedName name="HTML19_5" hidden="1">""</definedName>
    <definedName name="HTML19_6" hidden="1">-4146</definedName>
    <definedName name="HTML19_7" hidden="1">-4146</definedName>
    <definedName name="HTML19_8" hidden="1">""</definedName>
    <definedName name="HTML19_9" hidden="1">""</definedName>
    <definedName name="HTML2_1" hidden="1">"[社内電話帳記入用紙.xls]役員室!$A$9:$G$11"</definedName>
    <definedName name="HTML2_10" hidden="1">""</definedName>
    <definedName name="HTML2_11" hidden="1">1</definedName>
    <definedName name="HTML2_12" hidden="1">"I:\YPC_Dpt_ISD\Global\部共有１\企画\情報共有\川村\内線番号Web化関連\収集ﾃﾞｰﾀ\小豆沢\変換済み\役員室２.htm"</definedName>
    <definedName name="HTML2_2" hidden="1">1</definedName>
    <definedName name="HTML2_3" hidden="1">""</definedName>
    <definedName name="HTML2_4" hidden="1">""</definedName>
    <definedName name="HTML2_5" hidden="1">""</definedName>
    <definedName name="HTML2_6" hidden="1">-4146</definedName>
    <definedName name="HTML2_7" hidden="1">-4146</definedName>
    <definedName name="HTML2_8" hidden="1">""</definedName>
    <definedName name="HTML2_9" hidden="1">""</definedName>
    <definedName name="HTML20_1" hidden="1">"[社内電話帳記入用紙.xls]小豆沢工場!$B$12:$H$28"</definedName>
    <definedName name="HTML20_10" hidden="1">""</definedName>
    <definedName name="HTML20_11" hidden="1">1</definedName>
    <definedName name="HTML20_12" hidden="1">"I:\YPC_Dpt_ISD\Global\部共有１\企画\情報共有\川村\内線番号Web化関連\収集ﾃﾞｰﾀ\小豆沢\変換済み\小豆沢工場品質保証担当.htm"</definedName>
    <definedName name="HTML20_2" hidden="1">1</definedName>
    <definedName name="HTML20_3" hidden="1">""</definedName>
    <definedName name="HTML20_4" hidden="1">""</definedName>
    <definedName name="HTML20_5" hidden="1">""</definedName>
    <definedName name="HTML20_6" hidden="1">-4146</definedName>
    <definedName name="HTML20_7" hidden="1">-4146</definedName>
    <definedName name="HTML20_8" hidden="1">""</definedName>
    <definedName name="HTML20_9" hidden="1">""</definedName>
    <definedName name="HTML21_1" hidden="1">"[社内電話帳記入用紙.xls]小豆沢工場!$B$30:$H$53"</definedName>
    <definedName name="HTML21_10" hidden="1">""</definedName>
    <definedName name="HTML21_11" hidden="1">1</definedName>
    <definedName name="HTML21_12" hidden="1">"I:\YPC_Dpt_ISD\Global\部共有１\企画\情報共有\川村\内線番号Web化関連\収集ﾃﾞｰﾀ\小豆沢\変換済み\小豆沢工場製剤課.htm"</definedName>
    <definedName name="HTML21_2" hidden="1">1</definedName>
    <definedName name="HTML21_3" hidden="1">""</definedName>
    <definedName name="HTML21_4" hidden="1">""</definedName>
    <definedName name="HTML21_5" hidden="1">""</definedName>
    <definedName name="HTML21_6" hidden="1">-4146</definedName>
    <definedName name="HTML21_7" hidden="1">-4146</definedName>
    <definedName name="HTML21_8" hidden="1">""</definedName>
    <definedName name="HTML21_9" hidden="1">""</definedName>
    <definedName name="HTML22_1" hidden="1">"[社内電話帳記入用紙.xls]開発研究本部!$B$1:$G$6"</definedName>
    <definedName name="HTML22_10" hidden="1">""</definedName>
    <definedName name="HTML22_11" hidden="1">1</definedName>
    <definedName name="HTML22_12" hidden="1">"I:\YPC_Dpt_ISD\Global\部共有１\企画\情報共有\川村\内線番号Web化関連\収集ﾃﾞｰﾀ\小豆沢\変換済み\開発研究本部代謝研究所.htm"</definedName>
    <definedName name="HTML22_2" hidden="1">1</definedName>
    <definedName name="HTML22_3" hidden="1">""</definedName>
    <definedName name="HTML22_4" hidden="1">""</definedName>
    <definedName name="HTML22_5" hidden="1">""</definedName>
    <definedName name="HTML22_6" hidden="1">-4146</definedName>
    <definedName name="HTML22_7" hidden="1">-4146</definedName>
    <definedName name="HTML22_8" hidden="1">""</definedName>
    <definedName name="HTML22_9" hidden="1">""</definedName>
    <definedName name="HTML23_1" hidden="1">"[社内電話帳記入用紙.xls]開発研究本部!$B$7:$G$53"</definedName>
    <definedName name="HTML23_10" hidden="1">""</definedName>
    <definedName name="HTML23_11" hidden="1">1</definedName>
    <definedName name="HTML23_12" hidden="1">"I:\YPC_Dpt_ISD\Global\部共有１\企画\情報共有\川村\内線番号Web化関連\収集ﾃﾞｰﾀ\小豆沢\変換済み\開発研究本部代謝研究所.htm"</definedName>
    <definedName name="HTML23_2" hidden="1">1</definedName>
    <definedName name="HTML23_3" hidden="1">""</definedName>
    <definedName name="HTML23_4" hidden="1">""</definedName>
    <definedName name="HTML23_5" hidden="1">""</definedName>
    <definedName name="HTML23_6" hidden="1">-4146</definedName>
    <definedName name="HTML23_7" hidden="1">-4146</definedName>
    <definedName name="HTML23_8" hidden="1">""</definedName>
    <definedName name="HTML23_9" hidden="1">""</definedName>
    <definedName name="HTML24_1" hidden="1">"[社内電話帳記入用紙.xls]開発研究本部!$A$57:$H$170"</definedName>
    <definedName name="HTML24_10" hidden="1">""</definedName>
    <definedName name="HTML24_11" hidden="1">1</definedName>
    <definedName name="HTML24_12" hidden="1">"I:\YPC_Dpt_ISD\Global\部共有１\企画\情報共有\川村\内線番号Web化関連\収集ﾃﾞｰﾀ\小豆沢\変換済み\開発研究本部創薬安全性研究所.htm"</definedName>
    <definedName name="HTML24_2" hidden="1">1</definedName>
    <definedName name="HTML24_3" hidden="1">""</definedName>
    <definedName name="HTML24_4" hidden="1">""</definedName>
    <definedName name="HTML24_5" hidden="1">""</definedName>
    <definedName name="HTML24_6" hidden="1">-4146</definedName>
    <definedName name="HTML24_7" hidden="1">-4146</definedName>
    <definedName name="HTML24_8" hidden="1">""</definedName>
    <definedName name="HTML24_9" hidden="1">""</definedName>
    <definedName name="HTML25_1" hidden="1">"[社内電話帳記入用紙.xls]開発研究本部!$A$173:$G$181"</definedName>
    <definedName name="HTML25_10" hidden="1">""</definedName>
    <definedName name="HTML25_11" hidden="1">1</definedName>
    <definedName name="HTML25_12" hidden="1">"I:\YPC_Dpt_ISD\Global\部共有１\企画\情報共有\川村\内線番号Web化関連\収集ﾃﾞｰﾀ\小豆沢\変換済み\開発研究本部分析化学研究所.htm"</definedName>
    <definedName name="HTML25_2" hidden="1">1</definedName>
    <definedName name="HTML25_3" hidden="1">""</definedName>
    <definedName name="HTML25_4" hidden="1">""</definedName>
    <definedName name="HTML25_5" hidden="1">""</definedName>
    <definedName name="HTML25_6" hidden="1">-4146</definedName>
    <definedName name="HTML25_7" hidden="1">-4146</definedName>
    <definedName name="HTML25_8" hidden="1">""</definedName>
    <definedName name="HTML25_9" hidden="1">""</definedName>
    <definedName name="HTML26_1" hidden="1">"[社内電話帳記入用紙.xls]山之内東京ﾃｸﾉﾋﾞｼﾞﾈｽ!$A$1:$G$140"</definedName>
    <definedName name="HTML26_10" hidden="1">""</definedName>
    <definedName name="HTML26_11" hidden="1">1</definedName>
    <definedName name="HTML26_12" hidden="1">"I:\YPC_Dpt_ISD\Global\部共有１\企画\情報共有\川村\内線番号Web化関連\収集ﾃﾞｰﾀ\小豆沢\変換済み\山之内東京ﾃｸﾉﾋﾞｼﾞﾈｽ.htm"</definedName>
    <definedName name="HTML26_2" hidden="1">1</definedName>
    <definedName name="HTML26_3" hidden="1">""</definedName>
    <definedName name="HTML26_4" hidden="1">""</definedName>
    <definedName name="HTML26_5" hidden="1">""</definedName>
    <definedName name="HTML26_6" hidden="1">-4146</definedName>
    <definedName name="HTML26_7" hidden="1">-4146</definedName>
    <definedName name="HTML26_8" hidden="1">""</definedName>
    <definedName name="HTML26_9" hidden="1">""</definedName>
    <definedName name="HTML27_1" hidden="1">"[社内電話帳記入用紙.xls]山之内東京ﾃｸﾉﾋﾞｼﾞﾈｽ!$A$2:$G$36"</definedName>
    <definedName name="HTML27_10" hidden="1">""</definedName>
    <definedName name="HTML27_11" hidden="1">1</definedName>
    <definedName name="HTML27_12" hidden="1">"I:\YPC_Dpt_ISD\Global\部共有１\企画\情報共有\川村\内線番号Web化関連\収集ﾃﾞｰﾀ\小豆沢\変換済み\山之内東京ﾃｸﾉﾋﾞｼﾞﾈｽ業務担当.htm"</definedName>
    <definedName name="HTML27_2" hidden="1">1</definedName>
    <definedName name="HTML27_3" hidden="1">""</definedName>
    <definedName name="HTML27_4" hidden="1">""</definedName>
    <definedName name="HTML27_5" hidden="1">""</definedName>
    <definedName name="HTML27_6" hidden="1">-4146</definedName>
    <definedName name="HTML27_7" hidden="1">-4146</definedName>
    <definedName name="HTML27_8" hidden="1">""</definedName>
    <definedName name="HTML27_9" hidden="1">""</definedName>
    <definedName name="HTML28_1" hidden="1">"[社内電話帳記入用紙.xls]山之内東京ﾃｸﾉﾋﾞｼﾞﾈｽ!$A$38:$H$61"</definedName>
    <definedName name="HTML28_10" hidden="1">""</definedName>
    <definedName name="HTML28_11" hidden="1">1</definedName>
    <definedName name="HTML28_12" hidden="1">"I:\YPC_Dpt_ISD\Global\部共有１\企画\情報共有\川村\内線番号Web化関連\収集ﾃﾞｰﾀ\小豆沢\変換済み\dept7.htm"</definedName>
    <definedName name="HTML28_2" hidden="1">1</definedName>
    <definedName name="HTML28_3" hidden="1">""</definedName>
    <definedName name="HTML28_4" hidden="1">""</definedName>
    <definedName name="HTML28_5" hidden="1">""</definedName>
    <definedName name="HTML28_6" hidden="1">-4146</definedName>
    <definedName name="HTML28_7" hidden="1">-4146</definedName>
    <definedName name="HTML28_8" hidden="1">""</definedName>
    <definedName name="HTML28_9" hidden="1">""</definedName>
    <definedName name="HTML29_1" hidden="1">"[社内電話帳記入用紙.xls]山之内東京ﾃｸﾉﾋﾞｼﾞﾈｽ!$A$62:$H$103"</definedName>
    <definedName name="HTML29_10" hidden="1">""</definedName>
    <definedName name="HTML29_11" hidden="1">1</definedName>
    <definedName name="HTML29_12" hidden="1">"I:\YPC_Dpt_ISD\Global\部共有１\企画\情報共有\川村\内線番号Web化関連\収集ﾃﾞｰﾀ\小豆沢\変換済み\山之内東京ﾃｸﾉﾋﾞｼﾞﾈｽ動物担当.htm"</definedName>
    <definedName name="HTML29_2" hidden="1">1</definedName>
    <definedName name="HTML29_3" hidden="1">""</definedName>
    <definedName name="HTML29_4" hidden="1">""</definedName>
    <definedName name="HTML29_5" hidden="1">""</definedName>
    <definedName name="HTML29_6" hidden="1">-4146</definedName>
    <definedName name="HTML29_7" hidden="1">-4146</definedName>
    <definedName name="HTML29_8" hidden="1">""</definedName>
    <definedName name="HTML29_9" hidden="1">""</definedName>
    <definedName name="HTML3_1" hidden="1">"[社内電話帳記入用紙.xls]山之内情報ｾﾝﾀｰ!$A$1:$G$8"</definedName>
    <definedName name="HTML3_10" hidden="1">""</definedName>
    <definedName name="HTML3_11" hidden="1">1</definedName>
    <definedName name="HTML3_12" hidden="1">"I:\YPC_Dpt_ISD\Global\部共有１\企画\情報共有\川村\内線番号Web化関連\収集ﾃﾞｰﾀ\小豆沢\変換済み\山之内情報センター.htm"</definedName>
    <definedName name="HTML3_2" hidden="1">1</definedName>
    <definedName name="HTML3_3" hidden="1">""</definedName>
    <definedName name="HTML3_4" hidden="1">""</definedName>
    <definedName name="HTML3_5" hidden="1">""</definedName>
    <definedName name="HTML3_6" hidden="1">-4146</definedName>
    <definedName name="HTML3_7" hidden="1">-4146</definedName>
    <definedName name="HTML3_8" hidden="1">""</definedName>
    <definedName name="HTML3_9" hidden="1">""</definedName>
    <definedName name="HTML30_1" hidden="1">"[社内電話帳記入用紙.xls]山之内東京ﾃｸﾉﾋﾞｼﾞﾈｽ!$A$105:$G$140"</definedName>
    <definedName name="HTML30_10" hidden="1">""</definedName>
    <definedName name="HTML30_11" hidden="1">1</definedName>
    <definedName name="HTML30_12" hidden="1">"I:\YPC_Dpt_ISD\Global\部共有１\企画\情報共有\川村\内線番号Web化関連\収集ﾃﾞｰﾀ\小豆沢\変換済み\山之内東京ﾃｸﾉﾋﾞｼﾞﾈｽ分析代謝担当.htm"</definedName>
    <definedName name="HTML30_2" hidden="1">1</definedName>
    <definedName name="HTML30_3" hidden="1">""</definedName>
    <definedName name="HTML30_4" hidden="1">""</definedName>
    <definedName name="HTML30_5" hidden="1">""</definedName>
    <definedName name="HTML30_6" hidden="1">-4146</definedName>
    <definedName name="HTML30_7" hidden="1">-4146</definedName>
    <definedName name="HTML30_8" hidden="1">""</definedName>
    <definedName name="HTML30_9" hidden="1">""</definedName>
    <definedName name="HTML31_1" hidden="1">"'[社内電話帳記入用紙.xls]山之内情報ｾﾝﾀｰ（小豆沢）'!$A$1:$G$8"</definedName>
    <definedName name="HTML31_10" hidden="1">""</definedName>
    <definedName name="HTML31_11" hidden="1">1</definedName>
    <definedName name="HTML31_12" hidden="1">"I:\YPC_Dpt_ISD\Global\部共有１\企画\情報共有\川村\内線番号Web化関連\収集ﾃﾞｰﾀ\小豆沢\変換済み\MyHTML.htm"</definedName>
    <definedName name="HTML31_2" hidden="1">1</definedName>
    <definedName name="HTML31_3" hidden="1">""</definedName>
    <definedName name="HTML31_4" hidden="1">""</definedName>
    <definedName name="HTML31_5" hidden="1">""</definedName>
    <definedName name="HTML31_6" hidden="1">-4146</definedName>
    <definedName name="HTML31_7" hidden="1">-4146</definedName>
    <definedName name="HTML31_8" hidden="1">""</definedName>
    <definedName name="HTML31_9" hidden="1">""</definedName>
    <definedName name="HTML32_1" hidden="1">"'[社内電話帳記入用紙.xls]研開経営部 ＲＩ管理室'!$A$1:$G$6"</definedName>
    <definedName name="HTML32_10" hidden="1">""</definedName>
    <definedName name="HTML32_11" hidden="1">1</definedName>
    <definedName name="HTML32_12" hidden="1">"I:\YPC_Dpt_ISD\Global\部共有１\企画\情報共有\川村\内線番号Web化関連\収集ﾃﾞｰﾀ\小豆沢\変換済み\研開経営部ＲＩ管理室.htm"</definedName>
    <definedName name="HTML32_2" hidden="1">1</definedName>
    <definedName name="HTML32_3" hidden="1">""</definedName>
    <definedName name="HTML32_4" hidden="1">""</definedName>
    <definedName name="HTML32_5" hidden="1">""</definedName>
    <definedName name="HTML32_6" hidden="1">-4146</definedName>
    <definedName name="HTML32_7" hidden="1">-4146</definedName>
    <definedName name="HTML32_8" hidden="1">""</definedName>
    <definedName name="HTML32_9" hidden="1">""</definedName>
    <definedName name="HTML33_1" hidden="1">"[社内電話帳記入用紙.xls]開発研究本部!$B$57:$G$170"</definedName>
    <definedName name="HTML33_10" hidden="1">""</definedName>
    <definedName name="HTML33_11" hidden="1">1</definedName>
    <definedName name="HTML33_12" hidden="1">"I:\YPC_Dpt_ISD\Global\部共有１\企画\情報共有\川村\内線番号Web化関連\収集ﾃﾞｰﾀ\小豆沢\変換済み\MyHTML.htm"</definedName>
    <definedName name="HTML33_2" hidden="1">1</definedName>
    <definedName name="HTML33_3" hidden="1">""</definedName>
    <definedName name="HTML33_4" hidden="1">""</definedName>
    <definedName name="HTML33_5" hidden="1">""</definedName>
    <definedName name="HTML33_6" hidden="1">-4146</definedName>
    <definedName name="HTML33_7" hidden="1">-4146</definedName>
    <definedName name="HTML33_8" hidden="1">""</definedName>
    <definedName name="HTML33_9" hidden="1">""</definedName>
    <definedName name="HTML34_1" hidden="1">"[社内電話帳記入用紙.xls]開発研究本部!$B$173:$G$181"</definedName>
    <definedName name="HTML34_10" hidden="1">""</definedName>
    <definedName name="HTML34_11" hidden="1">1</definedName>
    <definedName name="HTML34_12" hidden="1">"I:\YPC_Dpt_ISD\Global\部共有１\企画\情報共有\川村\内線番号Web化関連\収集ﾃﾞｰﾀ\小豆沢\変換済み\dept13.htm"</definedName>
    <definedName name="HTML34_2" hidden="1">1</definedName>
    <definedName name="HTML34_3" hidden="1">""</definedName>
    <definedName name="HTML34_4" hidden="1">""</definedName>
    <definedName name="HTML34_5" hidden="1">""</definedName>
    <definedName name="HTML34_6" hidden="1">-4146</definedName>
    <definedName name="HTML34_7" hidden="1">-4146</definedName>
    <definedName name="HTML34_8" hidden="1">""</definedName>
    <definedName name="HTML34_9" hidden="1">""</definedName>
    <definedName name="HTML35_1" hidden="1">"[社内電話帳記入用紙.xls]山之内東京ﾃｸﾉﾋﾞｼﾞﾈｽ!$A$38:$G$61"</definedName>
    <definedName name="HTML35_10" hidden="1">""</definedName>
    <definedName name="HTML35_11" hidden="1">1</definedName>
    <definedName name="HTML35_12" hidden="1">"I:\YPC_Dpt_ISD\Global\部共有１\企画\情報共有\川村\内線番号Web化関連\収集ﾃﾞｰﾀ\小豆沢\変換済み\dept7.htm"</definedName>
    <definedName name="HTML35_2" hidden="1">1</definedName>
    <definedName name="HTML35_3" hidden="1">""</definedName>
    <definedName name="HTML35_4" hidden="1">""</definedName>
    <definedName name="HTML35_5" hidden="1">""</definedName>
    <definedName name="HTML35_6" hidden="1">-4146</definedName>
    <definedName name="HTML35_7" hidden="1">-4146</definedName>
    <definedName name="HTML35_8" hidden="1">""</definedName>
    <definedName name="HTML35_9" hidden="1">""</definedName>
    <definedName name="HTML36_1" hidden="1">"[社内電話帳記入用紙.xls]山之内東京ﾃｸﾉﾋﾞｼﾞﾈｽ!$B$63:$H$103"</definedName>
    <definedName name="HTML36_10" hidden="1">""</definedName>
    <definedName name="HTML36_11" hidden="1">1</definedName>
    <definedName name="HTML36_12" hidden="1">"I:\YPC_Dpt_ISD\Global\部共有１\企画\情報共有\川村\内線番号Web化関連\収集ﾃﾞｰﾀ\小豆沢\変換済み\dept8.htm"</definedName>
    <definedName name="HTML36_2" hidden="1">1</definedName>
    <definedName name="HTML36_3" hidden="1">""</definedName>
    <definedName name="HTML36_4" hidden="1">""</definedName>
    <definedName name="HTML36_5" hidden="1">""</definedName>
    <definedName name="HTML36_6" hidden="1">-4146</definedName>
    <definedName name="HTML36_7" hidden="1">-4146</definedName>
    <definedName name="HTML36_8" hidden="1">""</definedName>
    <definedName name="HTML36_9" hidden="1">""</definedName>
    <definedName name="HTML37_1" hidden="1">"[社内電話帳記入用紙.xls]開発研究本部!$B$108:$H$136"</definedName>
    <definedName name="HTML37_10" hidden="1">""</definedName>
    <definedName name="HTML37_11" hidden="1">1</definedName>
    <definedName name="HTML37_12" hidden="1">"I:\YPC_Dpt_ISD\Global\部共有１\企画\情報共有\川村\内線番号Web化関連\収集ﾃﾞｰﾀ\小豆沢\変換済み\dept12b.htm"</definedName>
    <definedName name="HTML37_2" hidden="1">1</definedName>
    <definedName name="HTML37_3" hidden="1">""</definedName>
    <definedName name="HTML37_4" hidden="1">""</definedName>
    <definedName name="HTML37_5" hidden="1">""</definedName>
    <definedName name="HTML37_6" hidden="1">-4146</definedName>
    <definedName name="HTML37_7" hidden="1">-4146</definedName>
    <definedName name="HTML37_8" hidden="1">""</definedName>
    <definedName name="HTML37_9" hidden="1">""</definedName>
    <definedName name="HTML38_1" hidden="1">"[社内電話帳記入用紙.xls]開発研究本部!$B$137:$H$170"</definedName>
    <definedName name="HTML38_10" hidden="1">""</definedName>
    <definedName name="HTML38_11" hidden="1">1</definedName>
    <definedName name="HTML38_12" hidden="1">"I:\YPC_Dpt_ISD\Global\部共有１\企画\情報共有\川村\内線番号Web化関連\収集ﾃﾞｰﾀ\小豆沢\変換済み\dept12c.htm"</definedName>
    <definedName name="HTML38_2" hidden="1">1</definedName>
    <definedName name="HTML38_3" hidden="1">""</definedName>
    <definedName name="HTML38_4" hidden="1">""</definedName>
    <definedName name="HTML38_5" hidden="1">""</definedName>
    <definedName name="HTML38_6" hidden="1">-4146</definedName>
    <definedName name="HTML38_7" hidden="1">-4146</definedName>
    <definedName name="HTML38_8" hidden="1">""</definedName>
    <definedName name="HTML38_9" hidden="1">""</definedName>
    <definedName name="HTML39_1" hidden="1">"[社内電話帳記入用紙.xls]役員室!$A$1:$G$10"</definedName>
    <definedName name="HTML39_10" hidden="1">""</definedName>
    <definedName name="HTML39_11" hidden="1">1</definedName>
    <definedName name="HTML39_12" hidden="1">"I:\YPC_Dpt_ISD\Global\部共有１\企画\情報共有\川村\内線番号Web化関連\収集ﾃﾞｰﾀ\小豆沢\変換済み\dept1.htm"</definedName>
    <definedName name="HTML39_2" hidden="1">1</definedName>
    <definedName name="HTML39_3" hidden="1">""</definedName>
    <definedName name="HTML39_4" hidden="1">""</definedName>
    <definedName name="HTML39_5" hidden="1">""</definedName>
    <definedName name="HTML39_6" hidden="1">-4146</definedName>
    <definedName name="HTML39_7" hidden="1">-4146</definedName>
    <definedName name="HTML39_8" hidden="1">""</definedName>
    <definedName name="HTML39_9" hidden="1">""</definedName>
    <definedName name="HTML4_1" hidden="1">"[社内電話帳記入用紙.xls]東京ﾃｸﾉﾋﾞｼﾞﾈｽ!$A$1:$G$36"</definedName>
    <definedName name="HTML4_10" hidden="1">""</definedName>
    <definedName name="HTML4_11" hidden="1">1</definedName>
    <definedName name="HTML4_12" hidden="1">"I:\YPC_Dpt_ISD\Global\部共有１\企画\情報共有\川村\内線番号Web化関連\収集ﾃﾞｰﾀ\小豆沢\変換済み\東京ﾃｸﾉﾋﾞｼﾞﾈｽ.htm"</definedName>
    <definedName name="HTML4_2" hidden="1">1</definedName>
    <definedName name="HTML4_3" hidden="1">""</definedName>
    <definedName name="HTML4_4" hidden="1">""</definedName>
    <definedName name="HTML4_5" hidden="1">""</definedName>
    <definedName name="HTML4_6" hidden="1">-4146</definedName>
    <definedName name="HTML4_7" hidden="1">-4146</definedName>
    <definedName name="HTML4_8" hidden="1">""</definedName>
    <definedName name="HTML4_9" hidden="1">""</definedName>
    <definedName name="HTML5_1" hidden="1">"[社内電話帳記入用紙.xls]動物管理!$A$1:$H$41"</definedName>
    <definedName name="HTML5_10" hidden="1">""</definedName>
    <definedName name="HTML5_11" hidden="1">1</definedName>
    <definedName name="HTML5_12" hidden="1">"I:\YPC_Dpt_ISD\Global\部共有１\企画\情報共有\川村\内線番号Web化関連\収集ﾃﾞｰﾀ\小豆沢\変換済み\動物管理担当.htm"</definedName>
    <definedName name="HTML5_2" hidden="1">1</definedName>
    <definedName name="HTML5_3" hidden="1">""</definedName>
    <definedName name="HTML5_4" hidden="1">""</definedName>
    <definedName name="HTML5_5" hidden="1">""</definedName>
    <definedName name="HTML5_6" hidden="1">-4146</definedName>
    <definedName name="HTML5_7" hidden="1">-4146</definedName>
    <definedName name="HTML5_8" hidden="1">""</definedName>
    <definedName name="HTML5_9" hidden="1">""</definedName>
    <definedName name="HTML6_1" hidden="1">"[社内電話帳記入用紙.xls]製剤課!$A$1:$H$24"</definedName>
    <definedName name="HTML6_10" hidden="1">""</definedName>
    <definedName name="HTML6_11" hidden="1">1</definedName>
    <definedName name="HTML6_12" hidden="1">"I:\YPC_Dpt_ISD\Global\部共有１\企画\情報共有\川村\内線番号Web化関連\収集ﾃﾞｰﾀ\小豆沢\変換済み\製剤課.htm"</definedName>
    <definedName name="HTML6_2" hidden="1">1</definedName>
    <definedName name="HTML6_3" hidden="1">""</definedName>
    <definedName name="HTML6_4" hidden="1">""</definedName>
    <definedName name="HTML6_5" hidden="1">""</definedName>
    <definedName name="HTML6_6" hidden="1">-4146</definedName>
    <definedName name="HTML6_7" hidden="1">-4146</definedName>
    <definedName name="HTML6_8" hidden="1">""</definedName>
    <definedName name="HTML6_9" hidden="1">""</definedName>
    <definedName name="HTML7_1" hidden="1">"[社内電話帳記入用紙.xls]製造管理担当!$A$1:$G$9"</definedName>
    <definedName name="HTML7_10" hidden="1">""</definedName>
    <definedName name="HTML7_11" hidden="1">1</definedName>
    <definedName name="HTML7_12" hidden="1">"I:\YPC_Dpt_ISD\Global\部共有１\企画\情報共有\川村\内線番号Web化関連\収集ﾃﾞｰﾀ\小豆沢\変換済み\製造管理担当.htm"</definedName>
    <definedName name="HTML7_2" hidden="1">1</definedName>
    <definedName name="HTML7_3" hidden="1">""</definedName>
    <definedName name="HTML7_4" hidden="1">""</definedName>
    <definedName name="HTML7_5" hidden="1">""</definedName>
    <definedName name="HTML7_6" hidden="1">-4146</definedName>
    <definedName name="HTML7_7" hidden="1">-4146</definedName>
    <definedName name="HTML7_8" hidden="1">""</definedName>
    <definedName name="HTML7_9" hidden="1">""</definedName>
    <definedName name="HTML8_1" hidden="1">"[社内電話帳記入用紙.xls]品質保証担当!$A$1:$H$17"</definedName>
    <definedName name="HTML8_10" hidden="1">""</definedName>
    <definedName name="HTML8_11" hidden="1">1</definedName>
    <definedName name="HTML8_12" hidden="1">"I:\YPC_Dpt_ISD\Global\部共有１\企画\情報共有\川村\内線番号Web化関連\収集ﾃﾞｰﾀ\小豆沢\変換済み\品質保証.htm"</definedName>
    <definedName name="HTML8_2" hidden="1">1</definedName>
    <definedName name="HTML8_3" hidden="1">""</definedName>
    <definedName name="HTML8_4" hidden="1">""</definedName>
    <definedName name="HTML8_5" hidden="1">""</definedName>
    <definedName name="HTML8_6" hidden="1">-4146</definedName>
    <definedName name="HTML8_7" hidden="1">-4146</definedName>
    <definedName name="HTML8_8" hidden="1">""</definedName>
    <definedName name="HTML8_9" hidden="1">""</definedName>
    <definedName name="HTML9_1" hidden="1">"[社内電話帳記入用紙.xls]製品試験!$A$1:$G$8"</definedName>
    <definedName name="HTML9_10" hidden="1">""</definedName>
    <definedName name="HTML9_11" hidden="1">1</definedName>
    <definedName name="HTML9_12" hidden="1">"I:\YPC_Dpt_ISD\Global\部共有１\企画\情報共有\川村\内線番号Web化関連\収集ﾃﾞｰﾀ\小豆沢\変換済み\製品試験.htm"</definedName>
    <definedName name="HTML9_2" hidden="1">1</definedName>
    <definedName name="HTML9_3" hidden="1">""</definedName>
    <definedName name="HTML9_4" hidden="1">""</definedName>
    <definedName name="HTML9_5" hidden="1">""</definedName>
    <definedName name="HTML9_6" hidden="1">-4146</definedName>
    <definedName name="HTML9_7" hidden="1">-4146</definedName>
    <definedName name="HTML9_8" hidden="1">""</definedName>
    <definedName name="HTML9_9" hidden="1">""</definedName>
    <definedName name="HTMLCount" hidden="1">39</definedName>
    <definedName name="Ｉ" localSheetId="5" hidden="1">#REF!</definedName>
    <definedName name="Ｉ" hidden="1">#REF!</definedName>
    <definedName name="IBMADV" localSheetId="5">#REF!</definedName>
    <definedName name="IBMADV">#REF!</definedName>
    <definedName name="IBMSE" localSheetId="5">#REF!</definedName>
    <definedName name="IBMSE">#REF!</definedName>
    <definedName name="ICTP97" localSheetId="5">#REF!</definedName>
    <definedName name="ICTP97">#REF!</definedName>
    <definedName name="IKOU" localSheetId="5">#REF!</definedName>
    <definedName name="IKOU">#REF!</definedName>
    <definedName name="IT1IT2" localSheetId="5">#REF!</definedName>
    <definedName name="IT1IT2">#REF!</definedName>
    <definedName name="IT1R" localSheetId="5">[11]添付資料!#REF!</definedName>
    <definedName name="IT1R">[11]添付資料!#REF!</definedName>
    <definedName name="IT3IT4" localSheetId="5">#REF!</definedName>
    <definedName name="IT3IT4">#REF!</definedName>
    <definedName name="ITB" localSheetId="5">[11]添付資料!#REF!</definedName>
    <definedName name="ITB">[11]添付資料!#REF!</definedName>
    <definedName name="ITKK" localSheetId="5">[11]添付資料!#REF!</definedName>
    <definedName name="ITKK">[11]添付資料!#REF!</definedName>
    <definedName name="ITSK" localSheetId="5">[11]添付資料!#REF!</definedName>
    <definedName name="ITSK">[11]添付資料!#REF!</definedName>
    <definedName name="IT基盤">[9]IT基盤選択肢!$A$2:$A$16</definedName>
    <definedName name="ｊ" localSheetId="5" hidden="1">#REF!</definedName>
    <definedName name="ｊ" hidden="1">#REF!</definedName>
    <definedName name="JP1HULFT" localSheetId="5" hidden="1">{"'変更後'!$B$6:$N$12"}</definedName>
    <definedName name="JP1HULFT" hidden="1">{"'変更後'!$B$6:$N$12"}</definedName>
    <definedName name="ｋ" localSheetId="5" hidden="1">#REF!</definedName>
    <definedName name="ｋ" hidden="1">#REF!</definedName>
    <definedName name="ｌ" localSheetId="5" hidden="1">#REF!</definedName>
    <definedName name="ｌ" hidden="1">#REF!</definedName>
    <definedName name="ｍ" localSheetId="5" hidden="1">#REF!</definedName>
    <definedName name="ｍ" hidden="1">#REF!</definedName>
    <definedName name="main">[2]!main</definedName>
    <definedName name="ｎ" localSheetId="5" hidden="1">#REF!</definedName>
    <definedName name="ｎ" hidden="1">#REF!</definedName>
    <definedName name="NHAKKOBI" localSheetId="5">#REF!</definedName>
    <definedName name="NHAKKOBI">#REF!</definedName>
    <definedName name="NICPGA" localSheetId="5">#REF!</definedName>
    <definedName name="NICPGA">#REF!</definedName>
    <definedName name="NICPGB" localSheetId="5">#REF!</definedName>
    <definedName name="NICPGB">#REF!</definedName>
    <definedName name="NICSEA" localSheetId="5">#REF!</definedName>
    <definedName name="NICSEA">#REF!</definedName>
    <definedName name="NICSEB" localSheetId="5">#REF!</definedName>
    <definedName name="NICSEB">#REF!</definedName>
    <definedName name="NICSES" localSheetId="5">#REF!</definedName>
    <definedName name="NICSES">#REF!</definedName>
    <definedName name="o" localSheetId="5">#REF!</definedName>
    <definedName name="o">#REF!</definedName>
    <definedName name="OGP" localSheetId="5">#REF!</definedName>
    <definedName name="OGP">#REF!</definedName>
    <definedName name="OLDSWKPGA" localSheetId="5">#REF!</definedName>
    <definedName name="OLDSWKPGA">#REF!</definedName>
    <definedName name="OLDSWKPGB" localSheetId="5">#REF!</definedName>
    <definedName name="OLDSWKPGB">#REF!</definedName>
    <definedName name="OLDSWKSEA" localSheetId="5">#REF!</definedName>
    <definedName name="OLDSWKSEA">#REF!</definedName>
    <definedName name="OLDSWKSEB" localSheetId="5">#REF!</definedName>
    <definedName name="OLDSWKSEB">#REF!</definedName>
    <definedName name="OLDSWKSES" localSheetId="5">#REF!</definedName>
    <definedName name="OLDSWKSES">#REF!</definedName>
    <definedName name="OptCHECK1">[2]!OptCHECK1</definedName>
    <definedName name="OptCHECK2">[2]!OptCHECK2</definedName>
    <definedName name="OTHERSSO" localSheetId="5">#REF!</definedName>
    <definedName name="OTHERSSO">#REF!</definedName>
    <definedName name="ｐ" localSheetId="5" hidden="1">#REF!</definedName>
    <definedName name="ｐ" hidden="1">#REF!</definedName>
    <definedName name="pca" localSheetId="5" hidden="1">{"'変更後'!$B$6:$N$12"}</definedName>
    <definedName name="pca" hidden="1">{"'変更後'!$B$6:$N$12"}</definedName>
    <definedName name="PCTFREE" localSheetId="5">#REF!</definedName>
    <definedName name="PCTFREE">#REF!</definedName>
    <definedName name="PD" localSheetId="5">#REF!</definedName>
    <definedName name="PD">#REF!</definedName>
    <definedName name="PDIT4" localSheetId="5">#REF!</definedName>
    <definedName name="PDIT4">#REF!</definedName>
    <definedName name="PDMCICS1" localSheetId="5">#REF!</definedName>
    <definedName name="PDMCICS1">#REF!</definedName>
    <definedName name="PHAKKOBI" localSheetId="5">#REF!</definedName>
    <definedName name="PHAKKOBI">#REF!</definedName>
    <definedName name="PM" localSheetId="5">#REF!</definedName>
    <definedName name="PM">#REF!</definedName>
    <definedName name="print" localSheetId="5">#REF!</definedName>
    <definedName name="print">#REF!</definedName>
    <definedName name="_xlnm.Print_Area" localSheetId="1">⑥コストシミュレーション表!$B$2:$AC$12</definedName>
    <definedName name="_xlnm.Print_Area" localSheetId="5">#REF!</definedName>
    <definedName name="_xlnm.Print_Area">#REF!</definedName>
    <definedName name="Print_Area_2" localSheetId="5">#REF!</definedName>
    <definedName name="Print_Area_2">#REF!</definedName>
    <definedName name="PROC" localSheetId="5">#REF!</definedName>
    <definedName name="PROC">#REF!</definedName>
    <definedName name="ｑ" localSheetId="5" hidden="1">#REF!</definedName>
    <definedName name="ｑ" hidden="1">#REF!</definedName>
    <definedName name="qq" localSheetId="5" hidden="1">{"'変更後'!$B$6:$N$12"}</definedName>
    <definedName name="qq" hidden="1">{"'変更後'!$B$6:$N$12"}</definedName>
    <definedName name="RTGS_SKDJ_ﾄﾞｷｭﾒﾝﾄ体系_List" localSheetId="5">#REF!</definedName>
    <definedName name="RTGS_SKDJ_ﾄﾞｷｭﾒﾝﾄ体系_List">#REF!</definedName>
    <definedName name="s" localSheetId="5" hidden="1">#REF!</definedName>
    <definedName name="s" hidden="1">#REF!</definedName>
    <definedName name="SAVE1">[2]!SAVE1</definedName>
    <definedName name="SAVE2">[2]!SAVE2</definedName>
    <definedName name="SB価格算出">[2]!SB価格算出</definedName>
    <definedName name="scsicable_check">[2]!scsicable_check</definedName>
    <definedName name="SCSIﾁｬﾈﾙ8" localSheetId="5">#REF!</definedName>
    <definedName name="SCSIﾁｬﾈﾙ8">#REF!</definedName>
    <definedName name="SenPyoArea" localSheetId="5">#REF!</definedName>
    <definedName name="SenPyoArea">#REF!</definedName>
    <definedName name="SHELL" localSheetId="5">#REF!</definedName>
    <definedName name="SHELL">#REF!</definedName>
    <definedName name="SNAP" localSheetId="5">#REF!</definedName>
    <definedName name="SNAP">#REF!</definedName>
    <definedName name="sorta" localSheetId="5">#REF!</definedName>
    <definedName name="sorta">#REF!</definedName>
    <definedName name="ｓｓ" localSheetId="5" hidden="1">{"'変更後'!$B$6:$N$12"}</definedName>
    <definedName name="ｓｓ" hidden="1">{"'変更後'!$B$6:$N$12"}</definedName>
    <definedName name="SSOADV" localSheetId="5">#REF!</definedName>
    <definedName name="SSOADV">#REF!</definedName>
    <definedName name="SSOPG" localSheetId="5">#REF!</definedName>
    <definedName name="SSOPG">#REF!</definedName>
    <definedName name="SSOSE" localSheetId="5">#REF!</definedName>
    <definedName name="SSOSE">#REF!</definedName>
    <definedName name="sss" localSheetId="5" hidden="1">{"'変更後'!$B$6:$N$12"}</definedName>
    <definedName name="sss" hidden="1">{"'変更後'!$B$6:$N$12"}</definedName>
    <definedName name="SWKPGA" localSheetId="5">#REF!</definedName>
    <definedName name="SWKPGA">#REF!</definedName>
    <definedName name="SWKPGB" localSheetId="5">#REF!</definedName>
    <definedName name="SWKPGB">#REF!</definedName>
    <definedName name="SWKSEA" localSheetId="5">#REF!</definedName>
    <definedName name="SWKSEA">#REF!</definedName>
    <definedName name="SWKSEB" localSheetId="5">#REF!</definedName>
    <definedName name="SWKSEB">#REF!</definedName>
    <definedName name="SWKSES" localSheetId="5">#REF!</definedName>
    <definedName name="SWKSES">#REF!</definedName>
    <definedName name="TANTO" localSheetId="5">[3]MKI見積!#REF!</definedName>
    <definedName name="TANTO">[3]MKI見積!#REF!</definedName>
    <definedName name="test" localSheetId="5" hidden="1">#REF!</definedName>
    <definedName name="test" hidden="1">#REF!</definedName>
    <definedName name="TISPGA" localSheetId="5">#REF!</definedName>
    <definedName name="TISPGA">#REF!</definedName>
    <definedName name="TISPGB" localSheetId="5">#REF!</definedName>
    <definedName name="TISPGB">#REF!</definedName>
    <definedName name="TISSEA" localSheetId="5">#REF!</definedName>
    <definedName name="TISSEA">#REF!</definedName>
    <definedName name="TISSEB" localSheetId="5">#REF!</definedName>
    <definedName name="TISSEB">#REF!</definedName>
    <definedName name="TISSES" localSheetId="5">#REF!</definedName>
    <definedName name="TISSES">#REF!</definedName>
    <definedName name="TY" localSheetId="5" hidden="1">{"'変更後'!$B$6:$N$12"}</definedName>
    <definedName name="TY" hidden="1">{"'変更後'!$B$6:$N$12"}</definedName>
    <definedName name="u" localSheetId="5" hidden="1">#REF!</definedName>
    <definedName name="u" hidden="1">#REF!</definedName>
    <definedName name="UHAKKOBI" localSheetId="5">#REF!</definedName>
    <definedName name="UHAKKOBI">#REF!</definedName>
    <definedName name="ｖ" localSheetId="5">#REF!</definedName>
    <definedName name="ｖ">#REF!</definedName>
    <definedName name="V1ATESAKI" localSheetId="5">[3]MKI見積!#REF!</definedName>
    <definedName name="V1ATESAKI">[3]MKI見積!#REF!</definedName>
    <definedName name="V1GOKEI" localSheetId="5">#REF!</definedName>
    <definedName name="V1GOKEI">#REF!</definedName>
    <definedName name="V2ATESAKI" localSheetId="5">[3]MKI見積!#REF!</definedName>
    <definedName name="V2ATESAKI">[3]MKI見積!#REF!</definedName>
    <definedName name="V2GOKEI" localSheetId="5">#REF!</definedName>
    <definedName name="V2GOKEI">#REF!</definedName>
    <definedName name="V3ATESAKI" localSheetId="5">[3]MKI見積!#REF!</definedName>
    <definedName name="V3ATESAKI">[3]MKI見積!#REF!</definedName>
    <definedName name="V3GOKEI" localSheetId="5">#REF!</definedName>
    <definedName name="V3GOKEI">#REF!</definedName>
    <definedName name="V4ATESAKI" localSheetId="5">[3]MKI見積!#REF!</definedName>
    <definedName name="V4ATESAKI">[3]MKI見積!#REF!</definedName>
    <definedName name="V4GOKEI" localSheetId="5">#REF!</definedName>
    <definedName name="V4GOKEI">#REF!</definedName>
    <definedName name="V5ATESAKI" localSheetId="5">[3]MKI見積!#REF!</definedName>
    <definedName name="V5ATESAKI">[3]MKI見積!#REF!</definedName>
    <definedName name="V5GOKEI" localSheetId="5">#REF!</definedName>
    <definedName name="V5GOKEI">#REF!</definedName>
    <definedName name="V6ATESAKI" localSheetId="5">[3]MKI見積!#REF!</definedName>
    <definedName name="V6ATESAKI">[3]MKI見積!#REF!</definedName>
    <definedName name="V6GOKEI" localSheetId="5">#REF!</definedName>
    <definedName name="V6GOKEI">#REF!</definedName>
    <definedName name="V7ATESAKI" localSheetId="5">[3]MKI見積!#REF!</definedName>
    <definedName name="V7ATESAKI">[3]MKI見積!#REF!</definedName>
    <definedName name="V7GOKEI" localSheetId="5">#REF!</definedName>
    <definedName name="V7GOKEI">#REF!</definedName>
    <definedName name="V8ATESAKI" localSheetId="5">[3]MKI見積!#REF!</definedName>
    <definedName name="V8ATESAKI">[3]MKI見積!#REF!</definedName>
    <definedName name="V8GOKEI" localSheetId="5">#REF!</definedName>
    <definedName name="V8GOKEI">#REF!</definedName>
    <definedName name="WW" localSheetId="5" hidden="1">#REF!</definedName>
    <definedName name="WW" hidden="1">#REF!</definedName>
    <definedName name="x" localSheetId="5" hidden="1">#REF!</definedName>
    <definedName name="x" hidden="1">#REF!</definedName>
    <definedName name="ｙ" localSheetId="5" hidden="1">#REF!</definedName>
    <definedName name="ｙ" hidden="1">#REF!</definedName>
    <definedName name="ｚ" localSheetId="5" hidden="1">#REF!</definedName>
    <definedName name="ｚ" hidden="1">#REF!</definedName>
    <definedName name="ZOKU" localSheetId="5">#REF!</definedName>
    <definedName name="ZOKU">#REF!</definedName>
    <definedName name="ZZZ" localSheetId="5" hidden="1">#REF!</definedName>
    <definedName name="ZZZ" hidden="1">#REF!</definedName>
    <definedName name="あ" localSheetId="5">#REF!</definedName>
    <definedName name="あ">#REF!</definedName>
    <definedName name="あ１" localSheetId="5">#REF!</definedName>
    <definedName name="あ１">#REF!</definedName>
    <definedName name="ああ" localSheetId="5" hidden="1">#REF!</definedName>
    <definedName name="ああ" hidden="1">#REF!</definedName>
    <definedName name="あああ" localSheetId="5" hidden="1">#REF!</definedName>
    <definedName name="あああ" hidden="1">#REF!</definedName>
    <definedName name="い" localSheetId="5">#REF!</definedName>
    <definedName name="い">#REF!</definedName>
    <definedName name="う">[8]SSA構成図!$A$1:$L$29</definedName>
    <definedName name="え" localSheetId="5">#REF!</definedName>
    <definedName name="え">#REF!</definedName>
    <definedName name="ええ" localSheetId="5" hidden="1">{"'変更後'!$B$6:$N$12"}</definedName>
    <definedName name="ええ" hidden="1">{"'変更後'!$B$6:$N$12"}</definedName>
    <definedName name="ｴﾗｰﾒﾝﾊﾞｰ" localSheetId="5">#REF!</definedName>
    <definedName name="ｴﾗｰﾒﾝﾊﾞｰ">#REF!</definedName>
    <definedName name="コスト積上中間表">[12]コスト積上中間表!$L$5:$AK$9</definedName>
    <definedName name="サービス">'[9]選択肢(個別)'!$C$2:$C$36</definedName>
    <definedName name="サービス番号">'[13]サービス分類 (最新)'!$A$4:$A$53</definedName>
    <definedName name="てｓｔ" localSheetId="5" hidden="1">{"'変更後'!$B$6:$N$12"}</definedName>
    <definedName name="てｓｔ" hidden="1">{"'変更後'!$B$6:$N$12"}</definedName>
    <definedName name="プレーヤー区分" localSheetId="5" hidden="1">#REF!</definedName>
    <definedName name="プレーヤー区分" hidden="1">#REF!</definedName>
    <definedName name="ライセンス種別">[4]OS!$A$1:$B$10</definedName>
    <definedName name="ワークシート" localSheetId="5">#REF!</definedName>
    <definedName name="ワークシート">#REF!</definedName>
    <definedName name="んｆｆ">[2]!んｆｆ</definedName>
    <definedName name="安藤" localSheetId="5" hidden="1">#REF!</definedName>
    <definedName name="安藤" hidden="1">#REF!</definedName>
    <definedName name="移動1">[2]!移動1</definedName>
    <definedName name="移動2">[2]!移動2</definedName>
    <definedName name="移動A">[2]!移動A</definedName>
    <definedName name="移動B">[2]!移動B</definedName>
    <definedName name="移動D">[2]!移動D</definedName>
    <definedName name="一まとめ">[14]!一まとめ</definedName>
    <definedName name="解除">[2]!解除</definedName>
    <definedName name="回収単位">[12]リストマスタ!$A$1:$A$6</definedName>
    <definedName name="改ページ" localSheetId="5" hidden="1">#REF!</definedName>
    <definedName name="改ページ" hidden="1">#REF!</definedName>
    <definedName name="開発1">[2]!開発1</definedName>
    <definedName name="管理サーバ_リージョン1_AWS利用料">'[4]EC+管理サーバ'!$F$21</definedName>
    <definedName name="管理サーバ_リージョン2_AWS利用料">'[4]EC+管理サーバ'!$F$29</definedName>
    <definedName name="管理サーバ_リージョン3_AWS利用料">'[4]EC+管理サーバ'!$F$37</definedName>
    <definedName name="管理サーバ_リージョンリスト">'[4]EC+管理サーバ'!$B$3:$B$12</definedName>
    <definedName name="関連表" localSheetId="5" hidden="1">#REF!</definedName>
    <definedName name="関連表" hidden="1">#REF!</definedName>
    <definedName name="機器">[12]森本専用!$B$2</definedName>
    <definedName name="業務CD">[9]ｼｽﾃﾑ管理台帳!$A$5:$A$219</definedName>
    <definedName name="業務分類">'[9]選択肢(個別)'!$E$2:$E$35</definedName>
    <definedName name="系統">'[9]選択肢(個別)'!$A$2:$A$5</definedName>
    <definedName name="購買分類">[12]リストマスタ!$E$1:$E$36</definedName>
    <definedName name="作成日" localSheetId="5">[15]排他制御!#REF!</definedName>
    <definedName name="作成日">[15]排他制御!#REF!</definedName>
    <definedName name="参考出力イメージ" localSheetId="5" hidden="1">#REF!</definedName>
    <definedName name="参考出力イメージ" hidden="1">#REF!</definedName>
    <definedName name="使用可能データ型" localSheetId="5">#REF!</definedName>
    <definedName name="使用可能データ型">#REF!</definedName>
    <definedName name="住所区分" localSheetId="5" hidden="1">#REF!</definedName>
    <definedName name="住所区分" hidden="1">#REF!</definedName>
    <definedName name="初期化1">[2]!初期化1</definedName>
    <definedName name="製品情報マスタ">[12]製品情報!$B$2:$L$476</definedName>
    <definedName name="製品名">[16]製品情報!$B$2:$B$641</definedName>
    <definedName name="設定">[2]!設定</definedName>
    <definedName name="束原" localSheetId="5" hidden="1">#REF!</definedName>
    <definedName name="束原" hidden="1">#REF!</definedName>
    <definedName name="注意1">[2]!注意1</definedName>
    <definedName name="訂正1">[2]!訂正1</definedName>
    <definedName name="日別計画シートをクリアする">[17]!日別計画シｰトをクリアする</definedName>
    <definedName name="範囲1">[2]!範囲1</definedName>
    <definedName name="番号">'[18]サービス分類 (最新)'!$A$4:$A$53</definedName>
    <definedName name="費目">[12]リストマスタ!$A$8:$A$11</definedName>
    <definedName name="表1" localSheetId="5" hidden="1">#REF!</definedName>
    <definedName name="表1" hidden="1">#REF!</definedName>
    <definedName name="表示1">[2]!表示1</definedName>
    <definedName name="分科会">[12]リストマスタ!$A$13:$A$17</definedName>
    <definedName name="保護">[2]!保護</definedName>
    <definedName name="保守">[12]森本専用!$B$3</definedName>
    <definedName name="優先度">[12]リストマスタ!$D$1:$D$6</definedName>
  </definedNames>
  <calcPr calcId="162913"/>
  <pivotCaches>
    <pivotCache cacheId="2" r:id="rId2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X11" i="29" l="1"/>
  <c r="AF11" i="29" s="1"/>
  <c r="R11" i="29"/>
  <c r="Y11" i="29" l="1"/>
  <c r="AG11" i="29" l="1"/>
  <c r="Z11" i="29"/>
  <c r="AA11" i="29" l="1"/>
  <c r="AH11" i="29"/>
  <c r="AB11" i="29" l="1"/>
  <c r="AI11" i="29"/>
  <c r="AC11" i="29" l="1"/>
  <c r="AJ11" i="29"/>
  <c r="AK11" i="29" l="1"/>
  <c r="AD11" i="29"/>
  <c r="AL11" i="29" s="1"/>
  <c r="H16" i="30" l="1"/>
  <c r="G16" i="30"/>
  <c r="F16" i="30"/>
  <c r="E16" i="30"/>
  <c r="H13" i="30"/>
  <c r="G13" i="30"/>
  <c r="F13" i="30"/>
  <c r="E13" i="30"/>
  <c r="H13" i="28"/>
  <c r="G13" i="28"/>
  <c r="F13" i="28"/>
  <c r="E13" i="28"/>
  <c r="H10" i="28"/>
  <c r="G10" i="28"/>
  <c r="F10" i="28"/>
  <c r="E10" i="28"/>
  <c r="X10" i="29" l="1"/>
  <c r="Y10" i="29" s="1"/>
  <c r="Z10" i="29" s="1"/>
  <c r="AA10" i="29" s="1"/>
  <c r="AB10" i="29" s="1"/>
  <c r="AC10" i="29" s="1"/>
  <c r="AD10" i="29" s="1"/>
  <c r="AL10" i="29" l="1"/>
  <c r="AH10" i="29"/>
  <c r="AG10" i="29"/>
  <c r="AF10" i="29"/>
  <c r="R10" i="29"/>
  <c r="AK10" i="29" l="1"/>
  <c r="AI10" i="29"/>
  <c r="AJ10" i="29"/>
  <c r="Q34" i="14" l="1"/>
  <c r="AK38" i="14" l="1"/>
  <c r="AJ38" i="14"/>
  <c r="AI38" i="14"/>
  <c r="AH38" i="14"/>
  <c r="AG38" i="14"/>
  <c r="AF38" i="14"/>
  <c r="AE38" i="14"/>
  <c r="Q38" i="14"/>
  <c r="AK37" i="14"/>
  <c r="AJ37" i="14"/>
  <c r="AI37" i="14"/>
  <c r="AH37" i="14"/>
  <c r="AG37" i="14"/>
  <c r="AF37" i="14"/>
  <c r="AE37" i="14"/>
  <c r="Q37" i="14"/>
  <c r="AK36" i="14"/>
  <c r="AJ36" i="14"/>
  <c r="AI36" i="14"/>
  <c r="AH36" i="14"/>
  <c r="AG36" i="14"/>
  <c r="AF36" i="14"/>
  <c r="AE36" i="14"/>
  <c r="Q36" i="14"/>
  <c r="AK35" i="14"/>
  <c r="AJ35" i="14"/>
  <c r="AI35" i="14"/>
  <c r="AH35" i="14"/>
  <c r="AG35" i="14"/>
  <c r="AF35" i="14"/>
  <c r="AE35" i="14"/>
  <c r="Q35" i="14"/>
  <c r="AK34" i="14"/>
  <c r="AJ34" i="14"/>
  <c r="AI34" i="14"/>
  <c r="AH34" i="14"/>
  <c r="AG34" i="14"/>
  <c r="AF34" i="14"/>
  <c r="AE34" i="14"/>
  <c r="AK33" i="14"/>
  <c r="AJ33" i="14"/>
  <c r="AI33" i="14"/>
  <c r="AH33" i="14"/>
  <c r="AG33" i="14"/>
  <c r="AF33" i="14"/>
  <c r="AE33" i="14"/>
  <c r="Q33" i="14"/>
  <c r="Q8" i="14" l="1"/>
  <c r="AE7" i="14"/>
  <c r="AF7" i="14"/>
  <c r="AG7" i="14"/>
  <c r="AH7" i="14"/>
  <c r="AI7" i="14"/>
  <c r="AJ7" i="14"/>
  <c r="AK7" i="14"/>
  <c r="AE8" i="14"/>
  <c r="AF8" i="14"/>
  <c r="AG8" i="14"/>
  <c r="AH8" i="14"/>
  <c r="AI8" i="14"/>
  <c r="AJ8" i="14"/>
  <c r="AK8" i="14"/>
  <c r="AE9" i="14"/>
  <c r="AF9" i="14"/>
  <c r="AG9" i="14"/>
  <c r="AH9" i="14"/>
  <c r="AI9" i="14"/>
  <c r="AJ9" i="14"/>
  <c r="AK9" i="14"/>
  <c r="AE10" i="14"/>
  <c r="AF10" i="14"/>
  <c r="AG10" i="14"/>
  <c r="AH10" i="14"/>
  <c r="AI10" i="14"/>
  <c r="AJ10" i="14"/>
  <c r="AK10" i="14"/>
  <c r="AE11" i="14"/>
  <c r="AF11" i="14"/>
  <c r="AG11" i="14"/>
  <c r="AH11" i="14"/>
  <c r="AI11" i="14"/>
  <c r="AJ11" i="14"/>
  <c r="AK11" i="14"/>
  <c r="AF6" i="14"/>
  <c r="AG6" i="14"/>
  <c r="AH6" i="14"/>
  <c r="AI6" i="14"/>
  <c r="AJ6" i="14"/>
  <c r="AK6" i="14"/>
  <c r="AE6" i="14"/>
  <c r="E8" i="24" l="1"/>
  <c r="D8" i="24"/>
  <c r="Q6" i="14" l="1"/>
  <c r="Q11" i="14" l="1"/>
  <c r="Q10" i="14"/>
  <c r="Q9" i="14"/>
  <c r="Q7" i="14"/>
  <c r="K17" i="5" l="1"/>
  <c r="K15" i="5"/>
  <c r="K7" i="5"/>
</calcChain>
</file>

<file path=xl/sharedStrings.xml><?xml version="1.0" encoding="utf-8"?>
<sst xmlns="http://schemas.openxmlformats.org/spreadsheetml/2006/main" count="591" uniqueCount="278">
  <si>
    <t>A</t>
    <phoneticPr fontId="2"/>
  </si>
  <si>
    <t>24時間365日</t>
  </si>
  <si>
    <t>OSバージョン</t>
  </si>
  <si>
    <t>-</t>
    <phoneticPr fontId="2"/>
  </si>
  <si>
    <t>③オンプレミス</t>
  </si>
  <si>
    <t>②プライベートクラウド</t>
  </si>
  <si>
    <t>①AWS</t>
  </si>
  <si>
    <t>B</t>
    <phoneticPr fontId="2"/>
  </si>
  <si>
    <t>AP・MWライセンス体系</t>
  </si>
  <si>
    <t>アプリ・HW適合性</t>
  </si>
  <si>
    <t>データの個数 / 仕訳対象システム</t>
  </si>
  <si>
    <t>総計</t>
  </si>
  <si>
    <t>クラウドにマッチしない課金体系</t>
  </si>
  <si>
    <t>システム個別に決められた時間のみ、または長期非稼働日のみ</t>
  </si>
  <si>
    <t>旧OS/特殊である・塩漬けシステムである、など</t>
  </si>
  <si>
    <t>他システムとの連携あり</t>
  </si>
  <si>
    <t>システム間連携</t>
  </si>
  <si>
    <t>非公開の主力製品の製造方法など、漏洩した場合経営ダメージが甚大な秘密情報</t>
  </si>
  <si>
    <t>漏洩した場合、精神的・経済的ダメージが大きい個人情報を取り扱う</t>
  </si>
  <si>
    <t>グローバルアクセスあり</t>
  </si>
  <si>
    <t>AWSでは利用できない/保守がない</t>
  </si>
  <si>
    <t>グローバル対応、現地からの利用</t>
  </si>
  <si>
    <t>サービス時間</t>
  </si>
  <si>
    <t>メンテナンス性</t>
  </si>
  <si>
    <t>機密情報</t>
  </si>
  <si>
    <t>個人情報</t>
  </si>
  <si>
    <t>24時間365日
※特に指定していない</t>
  </si>
  <si>
    <t>集計</t>
  </si>
  <si>
    <t>①AWS 集計</t>
  </si>
  <si>
    <t>②プライベートクラウド 集計</t>
  </si>
  <si>
    <t>③オンプレミス 集計</t>
  </si>
  <si>
    <t>その他</t>
  </si>
  <si>
    <t>Oracle ライセンス上問題なければOK。直近案内でもメンテナンスはOK。現状シングル構成。ユーザ影響は問題ないが、財務諸表が必要なタイミングで止まっていると困る。</t>
  </si>
  <si>
    <t>AIX であり、仮想化不可</t>
  </si>
  <si>
    <t>C</t>
    <phoneticPr fontId="2"/>
  </si>
  <si>
    <t>〇</t>
    <phoneticPr fontId="2"/>
  </si>
  <si>
    <t>No.</t>
    <phoneticPr fontId="2"/>
  </si>
  <si>
    <t>システム名</t>
    <rPh sb="4" eb="5">
      <t>メイ</t>
    </rPh>
    <phoneticPr fontId="2"/>
  </si>
  <si>
    <t>生産管理システム</t>
    <rPh sb="0" eb="2">
      <t>セイサン</t>
    </rPh>
    <rPh sb="2" eb="4">
      <t>カンリ</t>
    </rPh>
    <phoneticPr fontId="2"/>
  </si>
  <si>
    <t>xxxxシステム</t>
    <phoneticPr fontId="2"/>
  </si>
  <si>
    <t>〇</t>
    <phoneticPr fontId="2"/>
  </si>
  <si>
    <t>yyyyシステム</t>
    <phoneticPr fontId="2"/>
  </si>
  <si>
    <t>合計</t>
    <rPh sb="0" eb="2">
      <t>ゴウケイ</t>
    </rPh>
    <phoneticPr fontId="2"/>
  </si>
  <si>
    <t>ランニングコスト(年間)</t>
    <rPh sb="9" eb="11">
      <t>ネンカン</t>
    </rPh>
    <phoneticPr fontId="2"/>
  </si>
  <si>
    <t>初期費用</t>
    <rPh sb="0" eb="2">
      <t>ショキ</t>
    </rPh>
    <rPh sb="2" eb="4">
      <t>ヒヨウ</t>
    </rPh>
    <phoneticPr fontId="2"/>
  </si>
  <si>
    <t>パッケージ保守</t>
    <rPh sb="5" eb="7">
      <t>ホシュ</t>
    </rPh>
    <phoneticPr fontId="2"/>
  </si>
  <si>
    <t>パッケージ
ライセンス</t>
    <phoneticPr fontId="2"/>
  </si>
  <si>
    <t>ネットワーク回線費用（初期とランニング）</t>
    <rPh sb="6" eb="8">
      <t>カイセン</t>
    </rPh>
    <rPh sb="8" eb="10">
      <t>ヒヨウ</t>
    </rPh>
    <rPh sb="11" eb="13">
      <t>ショキ</t>
    </rPh>
    <phoneticPr fontId="2"/>
  </si>
  <si>
    <t>AWS初期設計費用（初期設計、構築）</t>
    <rPh sb="3" eb="5">
      <t>ショキ</t>
    </rPh>
    <rPh sb="5" eb="7">
      <t>セッケイ</t>
    </rPh>
    <rPh sb="7" eb="9">
      <t>ヒヨウ</t>
    </rPh>
    <rPh sb="10" eb="12">
      <t>ショキ</t>
    </rPh>
    <rPh sb="12" eb="14">
      <t>セッケイ</t>
    </rPh>
    <rPh sb="15" eb="17">
      <t>コウチク</t>
    </rPh>
    <phoneticPr fontId="2"/>
  </si>
  <si>
    <t>eC+利用料</t>
    <rPh sb="3" eb="6">
      <t>リヨウリョウ</t>
    </rPh>
    <phoneticPr fontId="2"/>
  </si>
  <si>
    <t>AWS利用料</t>
    <rPh sb="3" eb="6">
      <t>リヨウリョウ</t>
    </rPh>
    <phoneticPr fontId="2"/>
  </si>
  <si>
    <t>初期コスト</t>
    <rPh sb="0" eb="2">
      <t>ショキ</t>
    </rPh>
    <phoneticPr fontId="2"/>
  </si>
  <si>
    <t>ランニングコスト</t>
    <phoneticPr fontId="2"/>
  </si>
  <si>
    <t>AWS設計・構築費用</t>
    <rPh sb="3" eb="5">
      <t>セッケイ</t>
    </rPh>
    <rPh sb="6" eb="8">
      <t>コウチク</t>
    </rPh>
    <rPh sb="8" eb="10">
      <t>ヒヨウ</t>
    </rPh>
    <phoneticPr fontId="2"/>
  </si>
  <si>
    <t>CACMNS関連費用</t>
    <rPh sb="6" eb="8">
      <t>カンレン</t>
    </rPh>
    <rPh sb="8" eb="10">
      <t>ヒヨウ</t>
    </rPh>
    <phoneticPr fontId="2"/>
  </si>
  <si>
    <t>コストシミュレーション表</t>
    <rPh sb="11" eb="12">
      <t>ヒョウ</t>
    </rPh>
    <phoneticPr fontId="2"/>
  </si>
  <si>
    <t>V-UP作業の有無</t>
    <rPh sb="4" eb="6">
      <t>サギョウ</t>
    </rPh>
    <rPh sb="7" eb="9">
      <t>ウム</t>
    </rPh>
    <phoneticPr fontId="2"/>
  </si>
  <si>
    <t>DBMS</t>
    <phoneticPr fontId="2"/>
  </si>
  <si>
    <t>パッケージ</t>
    <phoneticPr fontId="2"/>
  </si>
  <si>
    <t>無</t>
    <rPh sb="0" eb="1">
      <t>ム</t>
    </rPh>
    <phoneticPr fontId="2"/>
  </si>
  <si>
    <t>有</t>
    <rPh sb="0" eb="1">
      <t>ア</t>
    </rPh>
    <phoneticPr fontId="2"/>
  </si>
  <si>
    <t>無</t>
    <rPh sb="0" eb="1">
      <t>ナシ</t>
    </rPh>
    <phoneticPr fontId="2"/>
  </si>
  <si>
    <t>イベント</t>
    <phoneticPr fontId="2"/>
  </si>
  <si>
    <t>年月</t>
    <rPh sb="0" eb="1">
      <t>ネン</t>
    </rPh>
    <rPh sb="1" eb="2">
      <t>ツキ</t>
    </rPh>
    <phoneticPr fontId="2"/>
  </si>
  <si>
    <t>HW EOL</t>
    <phoneticPr fontId="2"/>
  </si>
  <si>
    <t>OS V-UP</t>
    <phoneticPr fontId="2"/>
  </si>
  <si>
    <t>OS V-UP</t>
    <phoneticPr fontId="2"/>
  </si>
  <si>
    <t>zzzzシステム</t>
    <phoneticPr fontId="2"/>
  </si>
  <si>
    <t>aaaaシステム</t>
    <phoneticPr fontId="2"/>
  </si>
  <si>
    <t>bbbbシステム</t>
    <phoneticPr fontId="2"/>
  </si>
  <si>
    <t>年度別コスト</t>
    <rPh sb="0" eb="2">
      <t>ネンド</t>
    </rPh>
    <rPh sb="2" eb="3">
      <t>ベツ</t>
    </rPh>
    <phoneticPr fontId="2"/>
  </si>
  <si>
    <t>=</t>
    <phoneticPr fontId="2"/>
  </si>
  <si>
    <t>=</t>
    <phoneticPr fontId="2"/>
  </si>
  <si>
    <t>合計
(ランニング）</t>
    <rPh sb="0" eb="2">
      <t>ゴウケイ</t>
    </rPh>
    <phoneticPr fontId="2"/>
  </si>
  <si>
    <t>連携先システム</t>
    <phoneticPr fontId="2"/>
  </si>
  <si>
    <t>移行コスト
(移行作業、アプリ改修、試験等)</t>
    <rPh sb="0" eb="2">
      <t>イコウ</t>
    </rPh>
    <rPh sb="7" eb="9">
      <t>イコウ</t>
    </rPh>
    <rPh sb="9" eb="11">
      <t>サギョウ</t>
    </rPh>
    <rPh sb="15" eb="17">
      <t>カイシュウ</t>
    </rPh>
    <rPh sb="18" eb="20">
      <t>シケン</t>
    </rPh>
    <rPh sb="20" eb="21">
      <t>トウ</t>
    </rPh>
    <phoneticPr fontId="2"/>
  </si>
  <si>
    <t>構成情報</t>
    <rPh sb="0" eb="2">
      <t>コウセイ</t>
    </rPh>
    <rPh sb="2" eb="4">
      <t>ジョウホウ</t>
    </rPh>
    <phoneticPr fontId="2"/>
  </si>
  <si>
    <t>パターン</t>
    <phoneticPr fontId="2"/>
  </si>
  <si>
    <t>DBMS
種別</t>
    <rPh sb="5" eb="7">
      <t>シュベツ</t>
    </rPh>
    <phoneticPr fontId="2"/>
  </si>
  <si>
    <t>RDS</t>
    <phoneticPr fontId="2"/>
  </si>
  <si>
    <t>Oracle</t>
    <phoneticPr fontId="2"/>
  </si>
  <si>
    <t>SQL</t>
    <phoneticPr fontId="2"/>
  </si>
  <si>
    <t>Oracle</t>
    <phoneticPr fontId="2"/>
  </si>
  <si>
    <t>連携先システムの
名前解決手段</t>
    <rPh sb="0" eb="2">
      <t>レンケイ</t>
    </rPh>
    <rPh sb="2" eb="3">
      <t>サキ</t>
    </rPh>
    <rPh sb="9" eb="11">
      <t>ナマエ</t>
    </rPh>
    <rPh sb="11" eb="13">
      <t>カイケツ</t>
    </rPh>
    <rPh sb="13" eb="15">
      <t>シュダン</t>
    </rPh>
    <phoneticPr fontId="2"/>
  </si>
  <si>
    <t>DNS</t>
    <phoneticPr fontId="2"/>
  </si>
  <si>
    <t>IPアドレス</t>
    <phoneticPr fontId="2"/>
  </si>
  <si>
    <t>現状の運用費用</t>
    <rPh sb="0" eb="2">
      <t>ゲンジョウ</t>
    </rPh>
    <rPh sb="3" eb="5">
      <t>ウンヨウ</t>
    </rPh>
    <rPh sb="5" eb="7">
      <t>ヒヨウ</t>
    </rPh>
    <phoneticPr fontId="2"/>
  </si>
  <si>
    <t>移行後の運用費用</t>
    <rPh sb="0" eb="2">
      <t>イコウ</t>
    </rPh>
    <rPh sb="2" eb="3">
      <t>ゴ</t>
    </rPh>
    <rPh sb="4" eb="6">
      <t>ウンヨウ</t>
    </rPh>
    <rPh sb="6" eb="8">
      <t>ヒヨウ</t>
    </rPh>
    <phoneticPr fontId="2"/>
  </si>
  <si>
    <t>現状からの増減費用（システム名）</t>
    <rPh sb="0" eb="2">
      <t>ゲンジョウ</t>
    </rPh>
    <rPh sb="5" eb="7">
      <t>ゾウゲン</t>
    </rPh>
    <rPh sb="7" eb="9">
      <t>ヒヨウ</t>
    </rPh>
    <rPh sb="14" eb="15">
      <t>メイ</t>
    </rPh>
    <phoneticPr fontId="2"/>
  </si>
  <si>
    <t>連携先システムとの
データ通信料</t>
    <rPh sb="0" eb="2">
      <t>レンケイ</t>
    </rPh>
    <rPh sb="2" eb="3">
      <t>サキ</t>
    </rPh>
    <rPh sb="13" eb="15">
      <t>ツウシン</t>
    </rPh>
    <rPh sb="15" eb="16">
      <t>リョウ</t>
    </rPh>
    <phoneticPr fontId="2"/>
  </si>
  <si>
    <t>1GB/day</t>
    <phoneticPr fontId="2"/>
  </si>
  <si>
    <t>AWSへの移行関連</t>
    <rPh sb="5" eb="7">
      <t>イコウ</t>
    </rPh>
    <rPh sb="7" eb="9">
      <t>カンレン</t>
    </rPh>
    <phoneticPr fontId="2"/>
  </si>
  <si>
    <t>DBライセンス
（DB on EC2選択時）</t>
    <rPh sb="18" eb="20">
      <t>センタク</t>
    </rPh>
    <rPh sb="20" eb="21">
      <t>ジ</t>
    </rPh>
    <phoneticPr fontId="2"/>
  </si>
  <si>
    <t>DB保守
（DB on EC2選択時）</t>
    <rPh sb="2" eb="4">
      <t>ホシュ</t>
    </rPh>
    <rPh sb="15" eb="17">
      <t>センタク</t>
    </rPh>
    <rPh sb="17" eb="18">
      <t>ジ</t>
    </rPh>
    <phoneticPr fontId="2"/>
  </si>
  <si>
    <t>ｘｘｘｘシステム</t>
    <phoneticPr fontId="2"/>
  </si>
  <si>
    <t>計</t>
    <rPh sb="0" eb="1">
      <t>ケイ</t>
    </rPh>
    <phoneticPr fontId="2"/>
  </si>
  <si>
    <t>RTO</t>
    <phoneticPr fontId="9"/>
  </si>
  <si>
    <t>RPO*1</t>
    <phoneticPr fontId="9"/>
  </si>
  <si>
    <t>DR（広域災害）要件</t>
    <rPh sb="3" eb="5">
      <t>コウイキ</t>
    </rPh>
    <rPh sb="5" eb="7">
      <t>サイガイ</t>
    </rPh>
    <rPh sb="8" eb="10">
      <t>ヨウケン</t>
    </rPh>
    <phoneticPr fontId="9"/>
  </si>
  <si>
    <t>構成タイプ</t>
    <rPh sb="0" eb="2">
      <t>コウセイ</t>
    </rPh>
    <phoneticPr fontId="9"/>
  </si>
  <si>
    <t>DBタイプ</t>
    <phoneticPr fontId="9"/>
  </si>
  <si>
    <t>DRタイプ</t>
    <phoneticPr fontId="9"/>
  </si>
  <si>
    <t>コストファクター</t>
    <phoneticPr fontId="9"/>
  </si>
  <si>
    <t>他AZに復旧</t>
    <rPh sb="0" eb="1">
      <t>タ</t>
    </rPh>
    <rPh sb="4" eb="6">
      <t>フッキュウ</t>
    </rPh>
    <phoneticPr fontId="9"/>
  </si>
  <si>
    <t>東京R復旧待ち</t>
    <rPh sb="0" eb="2">
      <t>トウキョウ</t>
    </rPh>
    <rPh sb="3" eb="5">
      <t>フッキュウ</t>
    </rPh>
    <rPh sb="5" eb="6">
      <t>マ</t>
    </rPh>
    <phoneticPr fontId="9"/>
  </si>
  <si>
    <t>大阪LRで復旧</t>
    <rPh sb="0" eb="2">
      <t>オオサカ</t>
    </rPh>
    <rPh sb="5" eb="7">
      <t>フッキュウ</t>
    </rPh>
    <phoneticPr fontId="9"/>
  </si>
  <si>
    <t>ec2</t>
    <phoneticPr fontId="9"/>
  </si>
  <si>
    <t>RDS</t>
    <phoneticPr fontId="9"/>
  </si>
  <si>
    <t>ALB</t>
    <phoneticPr fontId="9"/>
  </si>
  <si>
    <t>データ容量</t>
    <rPh sb="3" eb="5">
      <t>ヨウリョウ</t>
    </rPh>
    <phoneticPr fontId="9"/>
  </si>
  <si>
    <t>データ転送</t>
    <rPh sb="3" eb="5">
      <t>テンソウ</t>
    </rPh>
    <phoneticPr fontId="9"/>
  </si>
  <si>
    <t>アプリ移行</t>
    <rPh sb="3" eb="5">
      <t>イコウ</t>
    </rPh>
    <phoneticPr fontId="9"/>
  </si>
  <si>
    <t>&gt;30</t>
    <phoneticPr fontId="9"/>
  </si>
  <si>
    <t>前日</t>
    <rPh sb="0" eb="2">
      <t>ゼンジツ</t>
    </rPh>
    <phoneticPr fontId="9"/>
  </si>
  <si>
    <t>〇</t>
    <phoneticPr fontId="9"/>
  </si>
  <si>
    <t>A</t>
    <phoneticPr fontId="9"/>
  </si>
  <si>
    <t>EC2</t>
    <phoneticPr fontId="9"/>
  </si>
  <si>
    <t>他AZ復旧</t>
    <rPh sb="0" eb="1">
      <t>タ</t>
    </rPh>
    <rPh sb="3" eb="5">
      <t>フッキュウ</t>
    </rPh>
    <phoneticPr fontId="9"/>
  </si>
  <si>
    <t>EC2単純移行</t>
    <rPh sb="3" eb="5">
      <t>タンジュン</t>
    </rPh>
    <rPh sb="5" eb="7">
      <t>イコウ</t>
    </rPh>
    <phoneticPr fontId="9"/>
  </si>
  <si>
    <t>×１</t>
    <phoneticPr fontId="9"/>
  </si>
  <si>
    <t>小</t>
    <rPh sb="0" eb="1">
      <t>ショウ</t>
    </rPh>
    <phoneticPr fontId="9"/>
  </si>
  <si>
    <t>&gt;30</t>
    <phoneticPr fontId="9"/>
  </si>
  <si>
    <t>EC2</t>
    <phoneticPr fontId="9"/>
  </si>
  <si>
    <t>DR Backup</t>
    <phoneticPr fontId="9"/>
  </si>
  <si>
    <t>×２</t>
    <phoneticPr fontId="9"/>
  </si>
  <si>
    <t>大</t>
    <rPh sb="0" eb="1">
      <t>ダイ</t>
    </rPh>
    <phoneticPr fontId="9"/>
  </si>
  <si>
    <t>〇</t>
    <phoneticPr fontId="9"/>
  </si>
  <si>
    <t>EC2</t>
    <phoneticPr fontId="9"/>
  </si>
  <si>
    <t>DR Instance</t>
    <phoneticPr fontId="9"/>
  </si>
  <si>
    <t>中</t>
    <rPh sb="0" eb="1">
      <t>チュウ</t>
    </rPh>
    <phoneticPr fontId="9"/>
  </si>
  <si>
    <t>&gt;30</t>
    <phoneticPr fontId="9"/>
  </si>
  <si>
    <t>B</t>
    <phoneticPr fontId="9"/>
  </si>
  <si>
    <t>Web＋RDS(Single)</t>
    <phoneticPr fontId="9"/>
  </si>
  <si>
    <t>×１</t>
    <phoneticPr fontId="9"/>
  </si>
  <si>
    <t>&gt;30</t>
    <phoneticPr fontId="9"/>
  </si>
  <si>
    <t>DR Backup</t>
    <phoneticPr fontId="9"/>
  </si>
  <si>
    <t>Web＋RDS(Single)</t>
    <phoneticPr fontId="9"/>
  </si>
  <si>
    <t>×２</t>
    <phoneticPr fontId="9"/>
  </si>
  <si>
    <t>〇</t>
    <phoneticPr fontId="9"/>
  </si>
  <si>
    <t>RDS</t>
    <phoneticPr fontId="9"/>
  </si>
  <si>
    <t>DR Instance</t>
    <phoneticPr fontId="9"/>
  </si>
  <si>
    <t>Web＋RDS(Single)</t>
    <phoneticPr fontId="9"/>
  </si>
  <si>
    <t>≒0</t>
    <phoneticPr fontId="9"/>
  </si>
  <si>
    <t>C</t>
    <phoneticPr fontId="9"/>
  </si>
  <si>
    <t>RDS</t>
    <phoneticPr fontId="9"/>
  </si>
  <si>
    <t>Web＋RDS(MultiAZ)</t>
    <phoneticPr fontId="9"/>
  </si>
  <si>
    <t>×２</t>
    <phoneticPr fontId="9"/>
  </si>
  <si>
    <t>≒0</t>
    <phoneticPr fontId="9"/>
  </si>
  <si>
    <t>〇</t>
    <phoneticPr fontId="9"/>
  </si>
  <si>
    <t>DR Backup</t>
    <phoneticPr fontId="9"/>
  </si>
  <si>
    <t>Web＋RDS(MultiAZ)</t>
    <phoneticPr fontId="9"/>
  </si>
  <si>
    <t>&gt;30</t>
    <phoneticPr fontId="9"/>
  </si>
  <si>
    <t>≒0</t>
    <phoneticPr fontId="9"/>
  </si>
  <si>
    <t>C</t>
    <phoneticPr fontId="9"/>
  </si>
  <si>
    <t>×３</t>
    <phoneticPr fontId="9"/>
  </si>
  <si>
    <t>&gt;5</t>
    <phoneticPr fontId="9"/>
  </si>
  <si>
    <t>D</t>
    <phoneticPr fontId="9"/>
  </si>
  <si>
    <t>Web冗長構成＋RDS（MultiAZ)</t>
    <rPh sb="3" eb="5">
      <t>ジョウチョウ</t>
    </rPh>
    <rPh sb="5" eb="7">
      <t>コウセイ</t>
    </rPh>
    <phoneticPr fontId="9"/>
  </si>
  <si>
    <t>&gt;5</t>
    <phoneticPr fontId="9"/>
  </si>
  <si>
    <t>≒0</t>
    <phoneticPr fontId="9"/>
  </si>
  <si>
    <t>DR Backup</t>
    <phoneticPr fontId="9"/>
  </si>
  <si>
    <t xml:space="preserve">Web冗長構成＋RDS（MultiAZ) </t>
    <rPh sb="3" eb="5">
      <t>ジョウチョウ</t>
    </rPh>
    <rPh sb="5" eb="7">
      <t>コウセイ</t>
    </rPh>
    <phoneticPr fontId="9"/>
  </si>
  <si>
    <t>&gt;5</t>
    <phoneticPr fontId="9"/>
  </si>
  <si>
    <t>×３</t>
    <phoneticPr fontId="9"/>
  </si>
  <si>
    <t>*1 インスタンス（CPU、Memory、NIC）障害時はRPOは直前まで復旧、EBS、AZ障害時は、前日バックアップ時点に復旧</t>
    <rPh sb="25" eb="28">
      <t>ショウガイジ</t>
    </rPh>
    <rPh sb="33" eb="35">
      <t>チョクゼン</t>
    </rPh>
    <rPh sb="37" eb="39">
      <t>フッキュウ</t>
    </rPh>
    <rPh sb="46" eb="49">
      <t>ショウガイジ</t>
    </rPh>
    <rPh sb="51" eb="53">
      <t>ゼンジツ</t>
    </rPh>
    <rPh sb="59" eb="61">
      <t>ジテン</t>
    </rPh>
    <rPh sb="62" eb="64">
      <t>フッキュウ</t>
    </rPh>
    <phoneticPr fontId="9"/>
  </si>
  <si>
    <t>RTO：障害発生からサービス復旧までの共用時間（分） 冗長化された構成の場合は、縮退（片側サーバのみの稼働）時でもサービス利用可能な場合は、復旧とする。</t>
    <rPh sb="4" eb="6">
      <t>ショウガイ</t>
    </rPh>
    <rPh sb="6" eb="8">
      <t>ハッセイ</t>
    </rPh>
    <rPh sb="14" eb="16">
      <t>フッキュウ</t>
    </rPh>
    <rPh sb="19" eb="21">
      <t>キョウヨウ</t>
    </rPh>
    <rPh sb="21" eb="23">
      <t>ジカン</t>
    </rPh>
    <rPh sb="24" eb="25">
      <t>フン</t>
    </rPh>
    <rPh sb="27" eb="29">
      <t>ジョウチョウ</t>
    </rPh>
    <rPh sb="29" eb="30">
      <t>カ</t>
    </rPh>
    <rPh sb="33" eb="35">
      <t>コウセイ</t>
    </rPh>
    <rPh sb="36" eb="38">
      <t>バアイ</t>
    </rPh>
    <rPh sb="40" eb="42">
      <t>シュクタイ</t>
    </rPh>
    <rPh sb="43" eb="45">
      <t>カタガワ</t>
    </rPh>
    <rPh sb="51" eb="53">
      <t>カドウ</t>
    </rPh>
    <rPh sb="54" eb="55">
      <t>ジ</t>
    </rPh>
    <rPh sb="61" eb="63">
      <t>リヨウ</t>
    </rPh>
    <rPh sb="63" eb="65">
      <t>カノウ</t>
    </rPh>
    <rPh sb="66" eb="68">
      <t>バアイ</t>
    </rPh>
    <rPh sb="70" eb="72">
      <t>フッキュウ</t>
    </rPh>
    <phoneticPr fontId="9"/>
  </si>
  <si>
    <t>RPO：データ復元が必要な障害時に、復旧可能な直近の時間（分）</t>
    <rPh sb="7" eb="9">
      <t>フクゲン</t>
    </rPh>
    <rPh sb="10" eb="12">
      <t>ヒツヨウ</t>
    </rPh>
    <rPh sb="13" eb="16">
      <t>ショウガイジ</t>
    </rPh>
    <rPh sb="18" eb="20">
      <t>フッキュウ</t>
    </rPh>
    <rPh sb="20" eb="22">
      <t>カノウ</t>
    </rPh>
    <rPh sb="23" eb="25">
      <t>チョッキン</t>
    </rPh>
    <rPh sb="26" eb="28">
      <t>ジカン</t>
    </rPh>
    <rPh sb="29" eb="30">
      <t>フン</t>
    </rPh>
    <phoneticPr fontId="9"/>
  </si>
  <si>
    <t>DRを使用した構成パターンの場合は以下のように変更する</t>
    <rPh sb="3" eb="5">
      <t>シヨウ</t>
    </rPh>
    <rPh sb="7" eb="9">
      <t>コウセイ</t>
    </rPh>
    <rPh sb="14" eb="16">
      <t>バアイ</t>
    </rPh>
    <rPh sb="17" eb="19">
      <t>イカ</t>
    </rPh>
    <rPh sb="23" eb="25">
      <t>ヘンコウ</t>
    </rPh>
    <phoneticPr fontId="2"/>
  </si>
  <si>
    <t>A～DのDR無しパターンに対して、下記を加算する。</t>
    <rPh sb="6" eb="7">
      <t>ナ</t>
    </rPh>
    <rPh sb="13" eb="14">
      <t>タイ</t>
    </rPh>
    <rPh sb="17" eb="19">
      <t>カキ</t>
    </rPh>
    <rPh sb="20" eb="22">
      <t>カサン</t>
    </rPh>
    <phoneticPr fontId="2"/>
  </si>
  <si>
    <t>以下は、システム調査票から自動転記される個所を示す</t>
    <rPh sb="0" eb="2">
      <t>イカ</t>
    </rPh>
    <rPh sb="8" eb="10">
      <t>チョウサ</t>
    </rPh>
    <rPh sb="10" eb="11">
      <t>ヒョウ</t>
    </rPh>
    <rPh sb="13" eb="15">
      <t>ジドウ</t>
    </rPh>
    <rPh sb="15" eb="17">
      <t>テンキ</t>
    </rPh>
    <rPh sb="20" eb="22">
      <t>カショ</t>
    </rPh>
    <rPh sb="23" eb="24">
      <t>シメ</t>
    </rPh>
    <phoneticPr fontId="2"/>
  </si>
  <si>
    <t>①クラウド移行判定</t>
    <rPh sb="5" eb="7">
      <t>イコウ</t>
    </rPh>
    <rPh sb="7" eb="9">
      <t>ハンテイ</t>
    </rPh>
    <phoneticPr fontId="2"/>
  </si>
  <si>
    <t>②クラウド移行時期</t>
    <rPh sb="5" eb="7">
      <t>イコウ</t>
    </rPh>
    <rPh sb="7" eb="9">
      <t>ジキ</t>
    </rPh>
    <phoneticPr fontId="2"/>
  </si>
  <si>
    <t>③構成条件</t>
    <rPh sb="1" eb="3">
      <t>コウセイ</t>
    </rPh>
    <rPh sb="3" eb="5">
      <t>ジョウケン</t>
    </rPh>
    <phoneticPr fontId="2"/>
  </si>
  <si>
    <t>④構成決定表</t>
    <rPh sb="1" eb="3">
      <t>コウセイ</t>
    </rPh>
    <rPh sb="3" eb="5">
      <t>ケッテイ</t>
    </rPh>
    <rPh sb="5" eb="6">
      <t>ヒョウ</t>
    </rPh>
    <phoneticPr fontId="2"/>
  </si>
  <si>
    <t>⑤コスト試算表</t>
    <rPh sb="4" eb="6">
      <t>シサン</t>
    </rPh>
    <rPh sb="6" eb="7">
      <t>ヒョウ</t>
    </rPh>
    <phoneticPr fontId="2"/>
  </si>
  <si>
    <t>表紙</t>
    <rPh sb="0" eb="2">
      <t>ヒョウシ</t>
    </rPh>
    <phoneticPr fontId="2"/>
  </si>
  <si>
    <t>G6</t>
    <phoneticPr fontId="2"/>
  </si>
  <si>
    <t>G13</t>
    <phoneticPr fontId="2"/>
  </si>
  <si>
    <t>D35</t>
    <phoneticPr fontId="2"/>
  </si>
  <si>
    <t>D36</t>
    <phoneticPr fontId="2"/>
  </si>
  <si>
    <t>D6</t>
    <phoneticPr fontId="2"/>
  </si>
  <si>
    <t>D8</t>
    <phoneticPr fontId="2"/>
  </si>
  <si>
    <t>D20</t>
    <phoneticPr fontId="2"/>
  </si>
  <si>
    <t>D29</t>
    <phoneticPr fontId="2"/>
  </si>
  <si>
    <t>D30</t>
    <phoneticPr fontId="2"/>
  </si>
  <si>
    <t>D7</t>
    <phoneticPr fontId="2"/>
  </si>
  <si>
    <t>D9</t>
    <phoneticPr fontId="2"/>
  </si>
  <si>
    <t>G5～8</t>
    <phoneticPr fontId="2"/>
  </si>
  <si>
    <t>H5～8</t>
    <phoneticPr fontId="2"/>
  </si>
  <si>
    <t>DEF10～12</t>
    <phoneticPr fontId="2"/>
  </si>
  <si>
    <t>G24</t>
    <phoneticPr fontId="2"/>
  </si>
  <si>
    <t>G23</t>
    <phoneticPr fontId="2"/>
  </si>
  <si>
    <t>システム調査票から自動転記されるもの</t>
    <rPh sb="4" eb="6">
      <t>チョウサ</t>
    </rPh>
    <rPh sb="6" eb="7">
      <t>ヒョウ</t>
    </rPh>
    <rPh sb="9" eb="11">
      <t>ジドウ</t>
    </rPh>
    <rPh sb="11" eb="13">
      <t>テンキ</t>
    </rPh>
    <phoneticPr fontId="2"/>
  </si>
  <si>
    <t>システム調査票は約50ファイルあり、50ファイルをオープンしてコストシミュレーション表に転記する</t>
    <rPh sb="4" eb="6">
      <t>チョウサ</t>
    </rPh>
    <rPh sb="6" eb="7">
      <t>ヒョウ</t>
    </rPh>
    <rPh sb="8" eb="9">
      <t>ヤク</t>
    </rPh>
    <rPh sb="42" eb="43">
      <t>ヒョウ</t>
    </rPh>
    <rPh sb="44" eb="46">
      <t>テンキ</t>
    </rPh>
    <phoneticPr fontId="2"/>
  </si>
  <si>
    <t>No.</t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</si>
  <si>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</si>
  <si>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</si>
  <si>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</si>
  <si>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</si>
  <si>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S-AZ</t>
    <phoneticPr fontId="2"/>
  </si>
  <si>
    <t>DB</t>
    <phoneticPr fontId="2"/>
  </si>
  <si>
    <t>AP/DB</t>
    <phoneticPr fontId="2"/>
  </si>
  <si>
    <t>t3.Large以上
(2c, 8GB)</t>
    <rPh sb="8" eb="10">
      <t>イジョウ</t>
    </rPh>
    <phoneticPr fontId="2"/>
  </si>
  <si>
    <t>AP/DB:1</t>
    <phoneticPr fontId="2"/>
  </si>
  <si>
    <t>AP:0:5</t>
    <phoneticPr fontId="2"/>
  </si>
  <si>
    <t>DB(large)</t>
    <phoneticPr fontId="2"/>
  </si>
  <si>
    <t>DB:0.5</t>
    <phoneticPr fontId="2"/>
  </si>
  <si>
    <t>t3.Large未満
(2c, 4GB)</t>
    <rPh sb="8" eb="10">
      <t>ミマン</t>
    </rPh>
    <phoneticPr fontId="2"/>
  </si>
  <si>
    <t>DB(samll)</t>
    <phoneticPr fontId="2"/>
  </si>
  <si>
    <t>DB:1</t>
    <phoneticPr fontId="2"/>
  </si>
  <si>
    <t>1. Aパターンをベースに④構成決定表にインスタンス（O列）と数量（I列）とHDD容量（L列）を入力する</t>
    <rPh sb="14" eb="16">
      <t>コウセイ</t>
    </rPh>
    <rPh sb="16" eb="18">
      <t>ケッテイ</t>
    </rPh>
    <rPh sb="18" eb="19">
      <t>ヒョウ</t>
    </rPh>
    <rPh sb="28" eb="29">
      <t>レツ</t>
    </rPh>
    <rPh sb="31" eb="33">
      <t>スウリョウ</t>
    </rPh>
    <rPh sb="35" eb="36">
      <t>レツ</t>
    </rPh>
    <rPh sb="41" eb="43">
      <t>ヨウリョウ</t>
    </rPh>
    <rPh sb="45" eb="46">
      <t>レツ</t>
    </rPh>
    <rPh sb="48" eb="50">
      <t>ニュウリョク</t>
    </rPh>
    <phoneticPr fontId="2"/>
  </si>
  <si>
    <t>2. コア数（J列）、メモリ（K列）、AWSインスタンス価格（年額）（P列）、EBS価格（Q列）（年額）、eC+（年額）（R列）が各列に自動入力される</t>
    <rPh sb="5" eb="6">
      <t>スウ</t>
    </rPh>
    <rPh sb="8" eb="9">
      <t>レツ</t>
    </rPh>
    <rPh sb="16" eb="17">
      <t>レツ</t>
    </rPh>
    <rPh sb="28" eb="30">
      <t>カカク</t>
    </rPh>
    <rPh sb="31" eb="33">
      <t>ネンガク</t>
    </rPh>
    <rPh sb="36" eb="37">
      <t>レツ</t>
    </rPh>
    <rPh sb="42" eb="44">
      <t>カカク</t>
    </rPh>
    <rPh sb="46" eb="47">
      <t>レツ</t>
    </rPh>
    <rPh sb="49" eb="51">
      <t>ネンガク</t>
    </rPh>
    <rPh sb="57" eb="59">
      <t>ネンガク</t>
    </rPh>
    <rPh sb="62" eb="63">
      <t>レツ</t>
    </rPh>
    <rPh sb="65" eb="66">
      <t>カク</t>
    </rPh>
    <rPh sb="66" eb="67">
      <t>レツ</t>
    </rPh>
    <rPh sb="68" eb="70">
      <t>ジドウ</t>
    </rPh>
    <rPh sb="70" eb="72">
      <t>ニュウリョク</t>
    </rPh>
    <phoneticPr fontId="2"/>
  </si>
  <si>
    <t>※1 登録するインスタンスは汎用タイプt3以上のすべてのインスタンスとしてください</t>
    <rPh sb="3" eb="5">
      <t>トウロク</t>
    </rPh>
    <rPh sb="14" eb="16">
      <t>ハンヨウ</t>
    </rPh>
    <rPh sb="21" eb="23">
      <t>イジョウ</t>
    </rPh>
    <phoneticPr fontId="2"/>
  </si>
  <si>
    <t>※2 ③構成条件（G16～19）の係数を見て、100%稼働率の金額から係数分を乗じて減算する。</t>
    <rPh sb="4" eb="6">
      <t>コウセイ</t>
    </rPh>
    <rPh sb="6" eb="8">
      <t>ジョウケン</t>
    </rPh>
    <rPh sb="17" eb="19">
      <t>ケイスウ</t>
    </rPh>
    <rPh sb="20" eb="21">
      <t>ミ</t>
    </rPh>
    <rPh sb="27" eb="29">
      <t>カドウ</t>
    </rPh>
    <rPh sb="29" eb="30">
      <t>リツ</t>
    </rPh>
    <rPh sb="31" eb="33">
      <t>キンガク</t>
    </rPh>
    <rPh sb="35" eb="37">
      <t>ケイスウ</t>
    </rPh>
    <rPh sb="37" eb="38">
      <t>ブン</t>
    </rPh>
    <rPh sb="39" eb="40">
      <t>ジョウ</t>
    </rPh>
    <rPh sb="42" eb="44">
      <t>ゲンザン</t>
    </rPh>
    <phoneticPr fontId="2"/>
  </si>
  <si>
    <t>3. ④構成決定表のP列、Q列、R列の合計は⑤コスト試算表の下記に自動入力される</t>
    <rPh sb="4" eb="6">
      <t>コウセイ</t>
    </rPh>
    <rPh sb="6" eb="8">
      <t>ケッテイ</t>
    </rPh>
    <rPh sb="8" eb="9">
      <t>ヒョウ</t>
    </rPh>
    <rPh sb="11" eb="12">
      <t>レツ</t>
    </rPh>
    <rPh sb="14" eb="15">
      <t>レツ</t>
    </rPh>
    <rPh sb="17" eb="18">
      <t>レツ</t>
    </rPh>
    <rPh sb="19" eb="21">
      <t>ゴウケイ</t>
    </rPh>
    <rPh sb="26" eb="28">
      <t>シサン</t>
    </rPh>
    <rPh sb="28" eb="29">
      <t>ヒョウ</t>
    </rPh>
    <rPh sb="30" eb="32">
      <t>カキ</t>
    </rPh>
    <rPh sb="33" eb="35">
      <t>ジドウ</t>
    </rPh>
    <rPh sb="35" eb="37">
      <t>ニュウリョク</t>
    </rPh>
    <phoneticPr fontId="2"/>
  </si>
  <si>
    <t>⑤コスト試算表　D29：P列合計＋Q列合計</t>
    <rPh sb="4" eb="6">
      <t>シサン</t>
    </rPh>
    <rPh sb="6" eb="7">
      <t>ヒョウ</t>
    </rPh>
    <rPh sb="13" eb="14">
      <t>レツ</t>
    </rPh>
    <rPh sb="14" eb="16">
      <t>ゴウケイ</t>
    </rPh>
    <rPh sb="18" eb="19">
      <t>レツ</t>
    </rPh>
    <rPh sb="19" eb="21">
      <t>ゴウケイ</t>
    </rPh>
    <phoneticPr fontId="2"/>
  </si>
  <si>
    <t>⑤コスト試算表　D30：R列合計</t>
    <rPh sb="4" eb="6">
      <t>シサン</t>
    </rPh>
    <rPh sb="6" eb="7">
      <t>ヒョウ</t>
    </rPh>
    <rPh sb="13" eb="14">
      <t>レツ</t>
    </rPh>
    <rPh sb="14" eb="16">
      <t>ゴウケイ</t>
    </rPh>
    <phoneticPr fontId="2"/>
  </si>
  <si>
    <t>RDS</t>
    <phoneticPr fontId="2"/>
  </si>
  <si>
    <t>イベント</t>
    <phoneticPr fontId="2"/>
  </si>
  <si>
    <t>yyyyシステム</t>
    <phoneticPr fontId="2"/>
  </si>
  <si>
    <t>Aシステム</t>
  </si>
  <si>
    <t>Aパターンの場合は、システム調査票の⑤コスト試算表のD29の値をL列に、D30の値をN列に自動転記する</t>
    <rPh sb="6" eb="8">
      <t>バアイ</t>
    </rPh>
    <rPh sb="14" eb="16">
      <t>チョウサ</t>
    </rPh>
    <rPh sb="16" eb="17">
      <t>ヒョウ</t>
    </rPh>
    <rPh sb="22" eb="24">
      <t>シサン</t>
    </rPh>
    <rPh sb="24" eb="25">
      <t>ヒョウ</t>
    </rPh>
    <rPh sb="30" eb="31">
      <t>アタイ</t>
    </rPh>
    <rPh sb="33" eb="34">
      <t>レツ</t>
    </rPh>
    <rPh sb="40" eb="41">
      <t>アタイ</t>
    </rPh>
    <rPh sb="43" eb="44">
      <t>レツ</t>
    </rPh>
    <rPh sb="45" eb="47">
      <t>ジドウ</t>
    </rPh>
    <rPh sb="47" eb="49">
      <t>テンキ</t>
    </rPh>
    <phoneticPr fontId="2"/>
  </si>
  <si>
    <t>Aパターン以外の場合は、構成パターン比率を適用し、係数をかけて値を変更する。変更した値を、L列、N列に自動転記する</t>
    <rPh sb="5" eb="7">
      <t>イガイ</t>
    </rPh>
    <rPh sb="8" eb="10">
      <t>バアイ</t>
    </rPh>
    <rPh sb="12" eb="14">
      <t>コウセイ</t>
    </rPh>
    <rPh sb="18" eb="20">
      <t>ヒリツ</t>
    </rPh>
    <rPh sb="21" eb="23">
      <t>テキヨウ</t>
    </rPh>
    <rPh sb="25" eb="27">
      <t>ケイスウ</t>
    </rPh>
    <rPh sb="31" eb="32">
      <t>アタイ</t>
    </rPh>
    <rPh sb="33" eb="35">
      <t>ヘンコウ</t>
    </rPh>
    <rPh sb="38" eb="40">
      <t>ヘンコウ</t>
    </rPh>
    <rPh sb="42" eb="43">
      <t>アタイ</t>
    </rPh>
    <rPh sb="46" eb="47">
      <t>レツ</t>
    </rPh>
    <rPh sb="49" eb="50">
      <t>レツ</t>
    </rPh>
    <rPh sb="51" eb="53">
      <t>ジドウ</t>
    </rPh>
    <rPh sb="53" eb="55">
      <t>テンキ</t>
    </rPh>
    <phoneticPr fontId="2"/>
  </si>
  <si>
    <t>構成パターンは構成チェックシートをもとに、プロジェクト側で変更する。A～Dの何れかに変更することで、L列、M列、N列の値が変更されるようにしたい（M列はDRなので後述）</t>
    <rPh sb="0" eb="2">
      <t>コウセイ</t>
    </rPh>
    <rPh sb="7" eb="9">
      <t>コウセイ</t>
    </rPh>
    <rPh sb="27" eb="28">
      <t>ガワ</t>
    </rPh>
    <rPh sb="29" eb="31">
      <t>ヘンコウ</t>
    </rPh>
    <rPh sb="38" eb="39">
      <t>イヅ</t>
    </rPh>
    <rPh sb="42" eb="44">
      <t>ヘンコウ</t>
    </rPh>
    <rPh sb="51" eb="52">
      <t>レツ</t>
    </rPh>
    <rPh sb="54" eb="55">
      <t>レツ</t>
    </rPh>
    <rPh sb="57" eb="58">
      <t>レツ</t>
    </rPh>
    <rPh sb="59" eb="60">
      <t>アタイ</t>
    </rPh>
    <rPh sb="61" eb="63">
      <t>ヘンコウ</t>
    </rPh>
    <rPh sb="74" eb="75">
      <t>レツ</t>
    </rPh>
    <rPh sb="81" eb="83">
      <t>コウジュツ</t>
    </rPh>
    <phoneticPr fontId="2"/>
  </si>
  <si>
    <t>DR1パターン：DRサイトへのデータ転送・データ保護のみの場合、スナップショット費用＋大阪Regionへの転送費用をDR対策用として加算する⇒M列の”AWS利用料（DR分）”にDR費用を記載する</t>
    <rPh sb="18" eb="20">
      <t>テンソウ</t>
    </rPh>
    <rPh sb="72" eb="73">
      <t>レツ</t>
    </rPh>
    <rPh sb="78" eb="81">
      <t>リヨウリョウ</t>
    </rPh>
    <rPh sb="84" eb="85">
      <t>ブン</t>
    </rPh>
    <rPh sb="90" eb="92">
      <t>ヒヨウ</t>
    </rPh>
    <rPh sb="93" eb="95">
      <t>キサイ</t>
    </rPh>
    <phoneticPr fontId="2"/>
  </si>
  <si>
    <t>スナップショット費用：＄0.050/1GB（月額）とし、ディスクサイズはEBSと同サイズで計算する</t>
    <rPh sb="8" eb="10">
      <t>ヒヨウ</t>
    </rPh>
    <rPh sb="22" eb="24">
      <t>ゲツガク</t>
    </rPh>
    <rPh sb="40" eb="41">
      <t>ドウ</t>
    </rPh>
    <rPh sb="45" eb="47">
      <t>ケイサン</t>
    </rPh>
    <phoneticPr fontId="2"/>
  </si>
  <si>
    <t>大阪Regionへの転送費用：ディスクサイズの10％が1カ月に更新されると想定で、１GBの更新当たり＄0.09を加算する</t>
    <rPh sb="29" eb="30">
      <t>ゲツ</t>
    </rPh>
    <rPh sb="45" eb="47">
      <t>コウシン</t>
    </rPh>
    <rPh sb="47" eb="48">
      <t>ア</t>
    </rPh>
    <rPh sb="56" eb="58">
      <t>カサン</t>
    </rPh>
    <phoneticPr fontId="2"/>
  </si>
  <si>
    <t>DR2パターン：DRサイトで業務復旧まで行う場合は、プライマリサイトのAWS年額（AWSインスタンス）の70%＋スナップショット費用＋大阪Regionへの転送費用を加算する⇒M列の”AWS利用料（DR分）”に前述の３種類のトータル金額を記載する</t>
    <rPh sb="20" eb="21">
      <t>オコナ</t>
    </rPh>
    <rPh sb="22" eb="24">
      <t>バアイ</t>
    </rPh>
    <rPh sb="38" eb="40">
      <t>ネンガク</t>
    </rPh>
    <rPh sb="82" eb="84">
      <t>カサン</t>
    </rPh>
    <rPh sb="104" eb="106">
      <t>ゼンジュツ</t>
    </rPh>
    <rPh sb="108" eb="110">
      <t>シュルイ</t>
    </rPh>
    <rPh sb="115" eb="117">
      <t>キンガク</t>
    </rPh>
    <rPh sb="118" eb="120">
      <t>キサイ</t>
    </rPh>
    <phoneticPr fontId="2"/>
  </si>
  <si>
    <t>AWSインスタンス：リザーブドインスタンスとして、プライマリサイトの70%の金額を加算する</t>
    <rPh sb="38" eb="40">
      <t>キンガク</t>
    </rPh>
    <rPh sb="41" eb="43">
      <t>カサン</t>
    </rPh>
    <phoneticPr fontId="2"/>
  </si>
  <si>
    <t>No.</t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</si>
  <si>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</si>
  <si>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</si>
  <si>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</si>
  <si>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</si>
  <si>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AP</t>
    <phoneticPr fontId="2"/>
  </si>
  <si>
    <t>S-AZ</t>
    <phoneticPr fontId="2"/>
  </si>
  <si>
    <t>M-AZ</t>
    <phoneticPr fontId="2"/>
  </si>
  <si>
    <t>DB</t>
    <phoneticPr fontId="2"/>
  </si>
  <si>
    <t>ex.AZ-A</t>
    <phoneticPr fontId="2"/>
  </si>
  <si>
    <t>ex.AZ-B</t>
    <phoneticPr fontId="2"/>
  </si>
  <si>
    <t>AP/DB</t>
    <phoneticPr fontId="2"/>
  </si>
  <si>
    <t>AP/DB:1</t>
    <phoneticPr fontId="2"/>
  </si>
  <si>
    <t>AP:0:5</t>
    <phoneticPr fontId="2"/>
  </si>
  <si>
    <t>AP/DB</t>
    <phoneticPr fontId="2"/>
  </si>
  <si>
    <t>AP</t>
    <phoneticPr fontId="2"/>
  </si>
  <si>
    <t>AP/DB:1</t>
    <phoneticPr fontId="2"/>
  </si>
  <si>
    <t>AP:0:5</t>
    <phoneticPr fontId="2"/>
  </si>
  <si>
    <t>DB(samll)</t>
    <phoneticPr fontId="2"/>
  </si>
  <si>
    <t>DB:1</t>
    <phoneticPr fontId="2"/>
  </si>
  <si>
    <t>※3 EBS価格はHDD：$0.120/1GB（月額）を基準とし、例えば100GB×$0.120で自動計算し、③構成決定表Q列に価格が自動入力される</t>
    <rPh sb="6" eb="8">
      <t>カカク</t>
    </rPh>
    <rPh sb="24" eb="26">
      <t>ゲツガク</t>
    </rPh>
    <rPh sb="28" eb="30">
      <t>キジュン</t>
    </rPh>
    <rPh sb="33" eb="34">
      <t>タト</t>
    </rPh>
    <rPh sb="49" eb="51">
      <t>ジドウ</t>
    </rPh>
    <rPh sb="51" eb="53">
      <t>ケイサン</t>
    </rPh>
    <rPh sb="56" eb="58">
      <t>コウセイ</t>
    </rPh>
    <rPh sb="58" eb="60">
      <t>ケッテイ</t>
    </rPh>
    <rPh sb="60" eb="61">
      <t>ヒョウ</t>
    </rPh>
    <rPh sb="62" eb="63">
      <t>レツ</t>
    </rPh>
    <rPh sb="64" eb="66">
      <t>カカク</t>
    </rPh>
    <rPh sb="67" eb="69">
      <t>ジドウ</t>
    </rPh>
    <rPh sb="69" eb="71">
      <t>ニュウリョク</t>
    </rPh>
    <phoneticPr fontId="2"/>
  </si>
  <si>
    <t>※4 スナップショットは＄0.050/1GB（月額）とし、EBS（データディスク）と同等の容量分を③構成決定表Q列にスナップショット分価格に加算する</t>
    <rPh sb="23" eb="25">
      <t>ゲツガク</t>
    </rPh>
    <rPh sb="42" eb="44">
      <t>ドウトウ</t>
    </rPh>
    <rPh sb="45" eb="47">
      <t>ヨウリョウ</t>
    </rPh>
    <rPh sb="47" eb="48">
      <t>ブン</t>
    </rPh>
    <rPh sb="50" eb="52">
      <t>コウセイ</t>
    </rPh>
    <rPh sb="52" eb="54">
      <t>ケッテイ</t>
    </rPh>
    <rPh sb="54" eb="55">
      <t>ヒョウ</t>
    </rPh>
    <rPh sb="56" eb="57">
      <t>レツ</t>
    </rPh>
    <rPh sb="66" eb="67">
      <t>ブン</t>
    </rPh>
    <rPh sb="67" eb="69">
      <t>カカク</t>
    </rPh>
    <rPh sb="70" eb="72">
      <t>カサン</t>
    </rPh>
    <phoneticPr fontId="2"/>
  </si>
  <si>
    <t>DR1：AWSインスタンスが起動しないため、構成パターン比率は無し</t>
    <rPh sb="14" eb="16">
      <t>キドウ</t>
    </rPh>
    <rPh sb="22" eb="24">
      <t>コウセイ</t>
    </rPh>
    <rPh sb="28" eb="30">
      <t>ヒリツ</t>
    </rPh>
    <rPh sb="31" eb="32">
      <t>ナ</t>
    </rPh>
    <phoneticPr fontId="2"/>
  </si>
  <si>
    <t>DR2：プライマリサイトと同一構成となるため、構成パターンは同じとなる。</t>
    <rPh sb="13" eb="15">
      <t>ドウイツ</t>
    </rPh>
    <rPh sb="15" eb="17">
      <t>コウセイ</t>
    </rPh>
    <rPh sb="23" eb="25">
      <t>コウセイ</t>
    </rPh>
    <rPh sb="30" eb="31">
      <t>オナ</t>
    </rPh>
    <phoneticPr fontId="2"/>
  </si>
  <si>
    <t>但し、シングルAZでの提供となるため、赤文字の個所が変更となる。</t>
    <rPh sb="0" eb="1">
      <t>タダ</t>
    </rPh>
    <rPh sb="11" eb="13">
      <t>テイキョウ</t>
    </rPh>
    <rPh sb="19" eb="20">
      <t>アカ</t>
    </rPh>
    <rPh sb="20" eb="22">
      <t>モジ</t>
    </rPh>
    <rPh sb="23" eb="25">
      <t>カショ</t>
    </rPh>
    <rPh sb="26" eb="28">
      <t>ヘンコウ</t>
    </rPh>
    <phoneticPr fontId="2"/>
  </si>
  <si>
    <t>AP</t>
    <phoneticPr fontId="2"/>
  </si>
  <si>
    <t>AWS利用料
(DR分)</t>
    <rPh sb="3" eb="6">
      <t>リヨウリョウ</t>
    </rPh>
    <rPh sb="10" eb="11">
      <t>ブン</t>
    </rPh>
    <phoneticPr fontId="2"/>
  </si>
  <si>
    <t>AP</t>
    <phoneticPr fontId="2"/>
  </si>
  <si>
    <t>AWS利用料
(DR分)</t>
    <phoneticPr fontId="2"/>
  </si>
  <si>
    <t>AWSインスタンス</t>
    <phoneticPr fontId="2"/>
  </si>
  <si>
    <t>AWS EBS</t>
    <phoneticPr fontId="2"/>
  </si>
  <si>
    <t>eC+利用料</t>
    <phoneticPr fontId="2"/>
  </si>
  <si>
    <t>検証</t>
    <phoneticPr fontId="2"/>
  </si>
  <si>
    <t>開発</t>
    <phoneticPr fontId="2"/>
  </si>
  <si>
    <t>検証</t>
    <phoneticPr fontId="2"/>
  </si>
  <si>
    <t>AP/DB(large以上)</t>
    <phoneticPr fontId="2"/>
  </si>
  <si>
    <t>AP/DB(medium以下)</t>
    <phoneticPr fontId="2"/>
  </si>
  <si>
    <t>EBSサイズ
※検証・開発環境以外</t>
    <rPh sb="11" eb="13">
      <t>カイハツ</t>
    </rPh>
    <rPh sb="13" eb="15">
      <t>カンキョウ</t>
    </rPh>
    <rPh sb="15" eb="17">
      <t>イガイ</t>
    </rPh>
    <phoneticPr fontId="2"/>
  </si>
  <si>
    <t>稼働率</t>
    <rPh sb="0" eb="3">
      <t>カドウリツ</t>
    </rPh>
    <phoneticPr fontId="2"/>
  </si>
  <si>
    <t>A</t>
  </si>
  <si>
    <t>Oracle SE2</t>
  </si>
  <si>
    <t>〇</t>
  </si>
  <si>
    <t>有</t>
  </si>
  <si>
    <t>無</t>
  </si>
  <si>
    <t xml:space="preserve">OSバージョンアップ ミドルウェアバージョンアップ </t>
  </si>
  <si>
    <t>2020/10</t>
  </si>
  <si>
    <t xml:space="preserve">A1システム A2システム A3システム A4システム A5システム A6システム A7システム A8システム A9システム A10システム </t>
  </si>
  <si>
    <t>DNS</t>
  </si>
  <si>
    <t>xxTB/day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</si>
</sst>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5" formatCode="&quot;¥&quot;#,##0;&quot;¥&quot;\-#,##0"/>
    <numFmt numFmtId="6" formatCode="&quot;¥&quot;#,##0;[Red]&quot;¥&quot;\-#,##0"/>
    <numFmt numFmtId="176" formatCode="yyyy&quot;年&quot;m&quot;月&quot;;@"/>
    <numFmt numFmtId="177" formatCode="[$¥-411]#,##0_);\([$¥-411]#,##0\)"/>
  </numFmts>
  <fonts count="1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メイリオ"/>
      <family val="2"/>
      <charset val="128"/>
    </font>
    <font>
      <b/>
      <sz val="11"/>
      <color theme="1"/>
      <name val="游ゴシック"/>
      <family val="2"/>
      <charset val="128"/>
      <scheme val="minor"/>
    </font>
    <font>
      <sz val="10"/>
      <color theme="1"/>
      <name val="メイリオ"/>
      <family val="3"/>
      <charset val="128"/>
    </font>
    <font>
      <sz val="11"/>
      <color theme="1"/>
      <name val="メイリオ"/>
      <family val="3"/>
      <charset val="128"/>
    </font>
    <font>
      <b/>
      <sz val="12"/>
      <color theme="1"/>
      <name val="メイリオ"/>
      <family val="3"/>
      <charset val="128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rgb="FFFF0000"/>
      <name val="メイリオ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メイリオ"/>
      <family val="3"/>
      <charset val="128"/>
    </font>
    <font>
      <sz val="11"/>
      <name val="游ゴシック"/>
      <family val="2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9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0" fontId="8" fillId="0" borderId="0"/>
  </cellStyleXfs>
  <cellXfs count="120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pivotButton="1">
      <alignment vertical="center"/>
    </xf>
    <xf numFmtId="0" fontId="4" fillId="3" borderId="5" xfId="0" applyNumberFormat="1" applyFont="1" applyFill="1" applyBorder="1">
      <alignment vertical="center"/>
    </xf>
    <xf numFmtId="0" fontId="4" fillId="0" borderId="0" xfId="0" applyFont="1">
      <alignment vertical="center"/>
    </xf>
    <xf numFmtId="0" fontId="4" fillId="0" borderId="4" xfId="0" applyFont="1" applyBorder="1">
      <alignment vertical="center"/>
    </xf>
    <xf numFmtId="0" fontId="4" fillId="3" borderId="5" xfId="0" applyFont="1" applyFill="1" applyBorder="1">
      <alignment vertical="center"/>
    </xf>
    <xf numFmtId="0" fontId="0" fillId="2" borderId="0" xfId="0" applyFill="1">
      <alignment vertical="center"/>
    </xf>
    <xf numFmtId="0" fontId="0" fillId="2" borderId="0" xfId="0" applyNumberFormat="1" applyFill="1">
      <alignment vertical="center"/>
    </xf>
    <xf numFmtId="0" fontId="4" fillId="2" borderId="6" xfId="0" applyFont="1" applyFill="1" applyBorder="1">
      <alignment vertical="center"/>
    </xf>
    <xf numFmtId="0" fontId="4" fillId="2" borderId="6" xfId="0" applyNumberFormat="1" applyFont="1" applyFill="1" applyBorder="1">
      <alignment vertical="center"/>
    </xf>
    <xf numFmtId="9" fontId="0" fillId="0" borderId="0" xfId="3" applyFont="1">
      <alignment vertical="center"/>
    </xf>
    <xf numFmtId="0" fontId="5" fillId="0" borderId="0" xfId="0" applyFont="1">
      <alignment vertical="center"/>
    </xf>
    <xf numFmtId="0" fontId="5" fillId="0" borderId="1" xfId="0" applyFont="1" applyBorder="1">
      <alignment vertical="center"/>
    </xf>
    <xf numFmtId="5" fontId="5" fillId="0" borderId="1" xfId="0" applyNumberFormat="1" applyFont="1" applyFill="1" applyBorder="1">
      <alignment vertical="center"/>
    </xf>
    <xf numFmtId="0" fontId="7" fillId="0" borderId="0" xfId="0" applyFont="1">
      <alignment vertical="center"/>
    </xf>
    <xf numFmtId="0" fontId="5" fillId="0" borderId="1" xfId="0" applyFont="1" applyBorder="1" applyAlignment="1">
      <alignment horizontal="center" vertical="center"/>
    </xf>
    <xf numFmtId="5" fontId="5" fillId="0" borderId="0" xfId="0" applyNumberFormat="1" applyFont="1">
      <alignment vertical="center"/>
    </xf>
    <xf numFmtId="5" fontId="5" fillId="4" borderId="1" xfId="0" applyNumberFormat="1" applyFont="1" applyFill="1" applyBorder="1">
      <alignment vertical="center"/>
    </xf>
    <xf numFmtId="5" fontId="5" fillId="5" borderId="1" xfId="0" applyNumberFormat="1" applyFont="1" applyFill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7" fillId="0" borderId="0" xfId="0" applyFont="1" applyFill="1">
      <alignment vertical="center"/>
    </xf>
    <xf numFmtId="0" fontId="6" fillId="0" borderId="0" xfId="0" applyFont="1" applyFill="1">
      <alignment vertical="center"/>
    </xf>
    <xf numFmtId="0" fontId="5" fillId="0" borderId="0" xfId="0" applyFont="1" applyFill="1">
      <alignment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 wrapText="1"/>
    </xf>
    <xf numFmtId="0" fontId="5" fillId="0" borderId="1" xfId="0" applyFont="1" applyFill="1" applyBorder="1">
      <alignment vertical="center"/>
    </xf>
    <xf numFmtId="176" fontId="5" fillId="0" borderId="1" xfId="0" applyNumberFormat="1" applyFont="1" applyFill="1" applyBorder="1">
      <alignment vertical="center"/>
    </xf>
    <xf numFmtId="177" fontId="5" fillId="0" borderId="1" xfId="4" applyNumberFormat="1" applyFont="1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0" borderId="1" xfId="0" applyBorder="1">
      <alignment vertical="center"/>
    </xf>
    <xf numFmtId="0" fontId="8" fillId="0" borderId="0" xfId="5"/>
    <xf numFmtId="0" fontId="8" fillId="0" borderId="11" xfId="5" applyBorder="1" applyAlignment="1">
      <alignment wrapText="1"/>
    </xf>
    <xf numFmtId="0" fontId="8" fillId="0" borderId="11" xfId="5" applyBorder="1"/>
    <xf numFmtId="0" fontId="8" fillId="0" borderId="3" xfId="5" applyBorder="1"/>
    <xf numFmtId="0" fontId="8" fillId="0" borderId="3" xfId="5" applyBorder="1" applyAlignment="1">
      <alignment horizontal="center" vertical="center" wrapText="1"/>
    </xf>
    <xf numFmtId="0" fontId="8" fillId="0" borderId="3" xfId="5" applyBorder="1" applyAlignment="1">
      <alignment horizontal="center" vertical="center"/>
    </xf>
    <xf numFmtId="0" fontId="8" fillId="0" borderId="3" xfId="5" applyBorder="1" applyAlignment="1">
      <alignment horizontal="center"/>
    </xf>
    <xf numFmtId="0" fontId="8" fillId="0" borderId="1" xfId="5" applyBorder="1"/>
    <xf numFmtId="0" fontId="8" fillId="0" borderId="1" xfId="5" applyBorder="1" applyAlignment="1">
      <alignment horizontal="center" vertical="center" wrapText="1"/>
    </xf>
    <xf numFmtId="0" fontId="8" fillId="0" borderId="1" xfId="5" applyBorder="1" applyAlignment="1">
      <alignment horizontal="center" vertical="center"/>
    </xf>
    <xf numFmtId="0" fontId="8" fillId="0" borderId="1" xfId="5" applyBorder="1" applyAlignment="1">
      <alignment horizontal="center"/>
    </xf>
    <xf numFmtId="0" fontId="8" fillId="0" borderId="0" xfId="5" applyAlignment="1">
      <alignment horizont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 wrapText="1"/>
    </xf>
    <xf numFmtId="0" fontId="10" fillId="0" borderId="0" xfId="0" applyFont="1" applyFill="1">
      <alignment vertical="center"/>
    </xf>
    <xf numFmtId="0" fontId="6" fillId="2" borderId="0" xfId="0" applyFont="1" applyFill="1">
      <alignment vertical="center"/>
    </xf>
    <xf numFmtId="0" fontId="6" fillId="5" borderId="0" xfId="0" applyFont="1" applyFill="1">
      <alignment vertical="center"/>
    </xf>
    <xf numFmtId="0" fontId="6" fillId="7" borderId="0" xfId="0" applyFont="1" applyFill="1">
      <alignment vertical="center"/>
    </xf>
    <xf numFmtId="0" fontId="6" fillId="4" borderId="0" xfId="0" applyFont="1" applyFill="1">
      <alignment vertical="center"/>
    </xf>
    <xf numFmtId="0" fontId="6" fillId="8" borderId="0" xfId="0" applyFont="1" applyFill="1">
      <alignment vertical="center"/>
    </xf>
    <xf numFmtId="0" fontId="6" fillId="8" borderId="1" xfId="0" applyFont="1" applyFill="1" applyBorder="1">
      <alignment vertical="center"/>
    </xf>
    <xf numFmtId="0" fontId="6" fillId="4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7" borderId="1" xfId="0" applyFont="1" applyFill="1" applyBorder="1">
      <alignment vertical="center"/>
    </xf>
    <xf numFmtId="0" fontId="5" fillId="0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3" fontId="0" fillId="0" borderId="0" xfId="0" applyNumberFormat="1">
      <alignment vertical="center"/>
    </xf>
    <xf numFmtId="6" fontId="0" fillId="0" borderId="0" xfId="0" applyNumberFormat="1">
      <alignment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17" fontId="5" fillId="0" borderId="1" xfId="0" quotePrefix="1" applyNumberFormat="1" applyFont="1" applyFill="1" applyBorder="1">
      <alignment vertical="center"/>
    </xf>
    <xf numFmtId="0" fontId="5" fillId="7" borderId="1" xfId="0" applyFont="1" applyFill="1" applyBorder="1" applyAlignment="1">
      <alignment horizontal="center" vertical="center" wrapText="1"/>
    </xf>
    <xf numFmtId="0" fontId="15" fillId="0" borderId="0" xfId="0" applyFont="1" applyFill="1">
      <alignment vertical="center"/>
    </xf>
    <xf numFmtId="0" fontId="10" fillId="0" borderId="0" xfId="0" applyFont="1" applyFill="1" applyAlignment="1">
      <alignment vertical="center"/>
    </xf>
    <xf numFmtId="0" fontId="16" fillId="0" borderId="0" xfId="0" applyFont="1">
      <alignment vertical="center"/>
    </xf>
    <xf numFmtId="0" fontId="14" fillId="10" borderId="1" xfId="0" applyFont="1" applyFill="1" applyBorder="1">
      <alignment vertical="center"/>
    </xf>
    <xf numFmtId="0" fontId="11" fillId="0" borderId="1" xfId="0" applyFont="1" applyBorder="1">
      <alignment vertical="center"/>
    </xf>
    <xf numFmtId="0" fontId="5" fillId="7" borderId="1" xfId="0" applyFont="1" applyFill="1" applyBorder="1" applyAlignment="1">
      <alignment horizontal="center" vertical="center" wrapText="1"/>
    </xf>
    <xf numFmtId="0" fontId="5" fillId="7" borderId="1" xfId="0" applyFont="1" applyFill="1" applyBorder="1" applyAlignment="1">
      <alignment horizontal="center" vertical="center" wrapText="1"/>
    </xf>
    <xf numFmtId="5" fontId="0" fillId="0" borderId="1" xfId="0" applyNumberFormat="1" applyBorder="1">
      <alignment vertical="center"/>
    </xf>
    <xf numFmtId="0" fontId="0" fillId="0" borderId="1" xfId="0" applyNumberFormat="1" applyBorder="1">
      <alignment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 wrapText="1"/>
    </xf>
    <xf numFmtId="0" fontId="5" fillId="0" borderId="3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 wrapText="1"/>
    </xf>
    <xf numFmtId="0" fontId="5" fillId="0" borderId="8" xfId="0" applyFont="1" applyFill="1" applyBorder="1" applyAlignment="1">
      <alignment horizontal="center" vertical="center" wrapText="1"/>
    </xf>
    <xf numFmtId="0" fontId="5" fillId="7" borderId="2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9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 wrapText="1"/>
    </xf>
    <xf numFmtId="0" fontId="5" fillId="7" borderId="7" xfId="0" applyFont="1" applyFill="1" applyBorder="1" applyAlignment="1">
      <alignment horizontal="center" vertical="center" wrapText="1"/>
    </xf>
    <xf numFmtId="0" fontId="5" fillId="7" borderId="8" xfId="0" applyFont="1" applyFill="1" applyBorder="1" applyAlignment="1">
      <alignment horizontal="center" vertical="center" wrapText="1"/>
    </xf>
    <xf numFmtId="0" fontId="5" fillId="7" borderId="10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1" xfId="0" applyBorder="1" applyAlignment="1">
      <alignment horizontal="right" vertical="top"/>
    </xf>
    <xf numFmtId="0" fontId="0" fillId="0" borderId="2" xfId="0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13" xfId="0" applyBorder="1" applyAlignment="1">
      <alignment horizontal="left" vertical="center" wrapText="1"/>
    </xf>
    <xf numFmtId="0" fontId="0" fillId="0" borderId="13" xfId="0" applyBorder="1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1" xfId="5" applyBorder="1" applyAlignment="1">
      <alignment horizontal="center"/>
    </xf>
    <xf numFmtId="0" fontId="8" fillId="0" borderId="11" xfId="5" applyBorder="1" applyAlignment="1">
      <alignment horizontal="center"/>
    </xf>
    <xf numFmtId="0" fontId="8" fillId="0" borderId="2" xfId="5" applyBorder="1" applyAlignment="1">
      <alignment horizontal="center"/>
    </xf>
    <xf numFmtId="0" fontId="8" fillId="0" borderId="12" xfId="5" applyBorder="1" applyAlignment="1">
      <alignment horizontal="center"/>
    </xf>
    <xf numFmtId="0" fontId="5" fillId="9" borderId="1" xfId="0" applyFont="1" applyFill="1" applyBorder="1" applyAlignment="1">
      <alignment horizontal="center" vertical="center" wrapText="1"/>
    </xf>
  </cellXfs>
  <cellStyles count="6">
    <cellStyle name="パーセント" xfId="3" builtinId="5"/>
    <cellStyle name="桁区切り" xfId="4" builtinId="6"/>
    <cellStyle name="標準" xfId="0" builtinId="0"/>
    <cellStyle name="標準 14" xfId="2"/>
    <cellStyle name="標準 2" xfId="1"/>
    <cellStyle name="標準 3" xfId="5"/>
  </cellStyles>
  <dxfs count="1">
    <dxf>
      <fill>
        <patternFill patternType="solid"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openxmlformats.org/officeDocument/2006/relationships/externalLink" Target="externalLinks/externalLink10.xml"/><Relationship Id="rId26" Type="http://schemas.openxmlformats.org/officeDocument/2006/relationships/externalLink" Target="externalLinks/externalLink18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3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externalLink" Target="externalLinks/externalLink9.xml"/><Relationship Id="rId25" Type="http://schemas.openxmlformats.org/officeDocument/2006/relationships/externalLink" Target="externalLinks/externalLink17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8.xml"/><Relationship Id="rId20" Type="http://schemas.openxmlformats.org/officeDocument/2006/relationships/externalLink" Target="externalLinks/externalLink12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24" Type="http://schemas.openxmlformats.org/officeDocument/2006/relationships/externalLink" Target="externalLinks/externalLink16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7.xml"/><Relationship Id="rId23" Type="http://schemas.openxmlformats.org/officeDocument/2006/relationships/externalLink" Target="externalLinks/externalLink15.xml"/><Relationship Id="rId28" Type="http://schemas.openxmlformats.org/officeDocument/2006/relationships/theme" Target="theme/theme1.xml"/><Relationship Id="rId10" Type="http://schemas.openxmlformats.org/officeDocument/2006/relationships/externalLink" Target="externalLinks/externalLink2.xml"/><Relationship Id="rId19" Type="http://schemas.openxmlformats.org/officeDocument/2006/relationships/externalLink" Target="externalLinks/externalLink11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externalLink" Target="externalLinks/externalLink6.xml"/><Relationship Id="rId22" Type="http://schemas.openxmlformats.org/officeDocument/2006/relationships/externalLink" Target="externalLinks/externalLink14.xml"/><Relationship Id="rId27" Type="http://schemas.openxmlformats.org/officeDocument/2006/relationships/pivotCacheDefinition" Target="pivotCache/pivotCacheDefinition1.xml"/><Relationship Id="rId30" Type="http://schemas.openxmlformats.org/officeDocument/2006/relationships/sharedStrings" Target="sharedStrings.xml"/><Relationship Id="rId35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498929</xdr:colOff>
      <xdr:row>39</xdr:row>
      <xdr:rowOff>117928</xdr:rowOff>
    </xdr:from>
    <xdr:to>
      <xdr:col>8</xdr:col>
      <xdr:colOff>852715</xdr:colOff>
      <xdr:row>44</xdr:row>
      <xdr:rowOff>9070</xdr:rowOff>
    </xdr:to>
    <xdr:sp macro="" textlink="">
      <xdr:nvSpPr>
        <xdr:cNvPr id="2" name="角丸四角形吹き出し 1"/>
        <xdr:cNvSpPr/>
      </xdr:nvSpPr>
      <xdr:spPr>
        <a:xfrm>
          <a:off x="4245429" y="8508999"/>
          <a:ext cx="2476500" cy="1025071"/>
        </a:xfrm>
        <a:prstGeom prst="wedgeRoundRectCallout">
          <a:avLst>
            <a:gd name="adj1" fmla="val -104166"/>
            <a:gd name="adj2" fmla="val -9593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手入力（</a:t>
          </a:r>
          <a:r>
            <a:rPr kumimoji="1" lang="en-US" altLang="ja-JP" sz="1100"/>
            <a:t>A</a:t>
          </a:r>
          <a:r>
            <a:rPr kumimoji="1" lang="ja-JP" altLang="en-US" sz="1100"/>
            <a:t>～</a:t>
          </a:r>
          <a:r>
            <a:rPr kumimoji="1" lang="en-US" altLang="ja-JP" sz="1100"/>
            <a:t>D</a:t>
          </a:r>
          <a:r>
            <a:rPr kumimoji="1" lang="ja-JP" altLang="en-US" sz="1100"/>
            <a:t>）</a:t>
          </a:r>
          <a:endParaRPr kumimoji="1" lang="en-US" altLang="ja-JP" sz="1100"/>
        </a:p>
        <a:p>
          <a:pPr algn="l"/>
          <a:r>
            <a:rPr kumimoji="1" lang="ja-JP" altLang="en-US" sz="1100"/>
            <a:t>それぞれ３種類</a:t>
          </a:r>
          <a:endParaRPr kumimoji="1" lang="en-US" altLang="ja-JP" sz="1100"/>
        </a:p>
        <a:p>
          <a:pPr algn="l"/>
          <a:r>
            <a:rPr kumimoji="1" lang="en-US" altLang="ja-JP" sz="1100"/>
            <a:t>ex. A, A-DR1, DR2</a:t>
          </a:r>
          <a:endParaRPr kumimoji="1" lang="ja-JP" altLang="en-US" sz="1100"/>
        </a:p>
      </xdr:txBody>
    </xdr:sp>
    <xdr:clientData/>
  </xdr:twoCellAnchor>
  <xdr:twoCellAnchor>
    <xdr:from>
      <xdr:col>18</xdr:col>
      <xdr:colOff>43543</xdr:colOff>
      <xdr:row>39</xdr:row>
      <xdr:rowOff>52613</xdr:rowOff>
    </xdr:from>
    <xdr:to>
      <xdr:col>20</xdr:col>
      <xdr:colOff>342900</xdr:colOff>
      <xdr:row>43</xdr:row>
      <xdr:rowOff>170541</xdr:rowOff>
    </xdr:to>
    <xdr:sp macro="" textlink="">
      <xdr:nvSpPr>
        <xdr:cNvPr id="3" name="角丸四角形吹き出し 2"/>
        <xdr:cNvSpPr/>
      </xdr:nvSpPr>
      <xdr:spPr>
        <a:xfrm>
          <a:off x="15283543" y="8443684"/>
          <a:ext cx="2476500" cy="1025071"/>
        </a:xfrm>
        <a:prstGeom prst="wedgeRoundRectCallout">
          <a:avLst>
            <a:gd name="adj1" fmla="val -104166"/>
            <a:gd name="adj2" fmla="val -9593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L</a:t>
          </a:r>
          <a:r>
            <a:rPr kumimoji="1" lang="ja-JP" altLang="en-US" sz="1100"/>
            <a:t>列から</a:t>
          </a:r>
          <a:r>
            <a:rPr kumimoji="1" lang="en-US" altLang="ja-JP" sz="1100"/>
            <a:t>O</a:t>
          </a:r>
          <a:r>
            <a:rPr kumimoji="1" lang="ja-JP" altLang="en-US" sz="1100"/>
            <a:t>列の合計を計算</a:t>
          </a:r>
          <a:endParaRPr kumimoji="1" lang="en-US" altLang="ja-JP" sz="1100"/>
        </a:p>
      </xdr:txBody>
    </xdr:sp>
    <xdr:clientData/>
  </xdr:twoCellAnchor>
  <xdr:twoCellAnchor>
    <xdr:from>
      <xdr:col>25</xdr:col>
      <xdr:colOff>468086</xdr:colOff>
      <xdr:row>39</xdr:row>
      <xdr:rowOff>23584</xdr:rowOff>
    </xdr:from>
    <xdr:to>
      <xdr:col>30</xdr:col>
      <xdr:colOff>214086</xdr:colOff>
      <xdr:row>43</xdr:row>
      <xdr:rowOff>141512</xdr:rowOff>
    </xdr:to>
    <xdr:sp macro="" textlink="">
      <xdr:nvSpPr>
        <xdr:cNvPr id="4" name="角丸四角形吹き出し 3"/>
        <xdr:cNvSpPr/>
      </xdr:nvSpPr>
      <xdr:spPr>
        <a:xfrm>
          <a:off x="22085300" y="8414655"/>
          <a:ext cx="2476500" cy="1025071"/>
        </a:xfrm>
        <a:prstGeom prst="wedgeRoundRectCallout">
          <a:avLst>
            <a:gd name="adj1" fmla="val -76327"/>
            <a:gd name="adj2" fmla="val -174695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時期をずらすと左の年度別コストが再計算される</a:t>
          </a:r>
          <a:endParaRPr kumimoji="1" lang="en-US" altLang="ja-JP" sz="1100"/>
        </a:p>
      </xdr:txBody>
    </xdr:sp>
    <xdr:clientData/>
  </xdr:twoCellAnchor>
  <xdr:twoCellAnchor>
    <xdr:from>
      <xdr:col>25</xdr:col>
      <xdr:colOff>477158</xdr:colOff>
      <xdr:row>39</xdr:row>
      <xdr:rowOff>29028</xdr:rowOff>
    </xdr:from>
    <xdr:to>
      <xdr:col>30</xdr:col>
      <xdr:colOff>223158</xdr:colOff>
      <xdr:row>43</xdr:row>
      <xdr:rowOff>146956</xdr:rowOff>
    </xdr:to>
    <xdr:sp macro="" textlink="">
      <xdr:nvSpPr>
        <xdr:cNvPr id="5" name="角丸四角形吹き出し 4"/>
        <xdr:cNvSpPr/>
      </xdr:nvSpPr>
      <xdr:spPr>
        <a:xfrm>
          <a:off x="22128844" y="8258628"/>
          <a:ext cx="2500085" cy="988785"/>
        </a:xfrm>
        <a:prstGeom prst="wedgeRoundRectCallout">
          <a:avLst>
            <a:gd name="adj1" fmla="val 139424"/>
            <a:gd name="adj2" fmla="val -169385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時期をずらすと左の年度別コストが再計算される</a:t>
          </a:r>
          <a:endParaRPr kumimoji="1" lang="en-US" altLang="ja-JP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91440</xdr:colOff>
          <xdr:row>2</xdr:row>
          <xdr:rowOff>22860</xdr:rowOff>
        </xdr:from>
        <xdr:to>
          <xdr:col>17</xdr:col>
          <xdr:colOff>815340</xdr:colOff>
          <xdr:row>3</xdr:row>
          <xdr:rowOff>198120</xdr:rowOff>
        </xdr:to>
        <xdr:sp macro="" textlink="">
          <xdr:nvSpPr>
            <xdr:cNvPr id="2050" name="調査票を読込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tfs2.it.ns-sol.co.jp\Documents%20and%20Settings\yamasaki.kuniyoshi\Local%20Settings\Temporary%20Internet%20Files\OLK3F\&#12527;&#12452;&#12474;&#12510;&#12531;%235-1_&#12521;&#12483;&#12463;&#27083;&#25104;&#22259;_20110803\D10&#12395;&#22679;&#35373;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5nsd1p1a1frd01\d2fr45-rb06w10p02$\N22581\Desktop\&#35201;&#27880;&#24847;&#12477;&#12501;&#12488;&#12454;&#12455;&#12450;_R01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unar01\ITOS&#37096;\TEMP\&#65305;&#65305;&#24180;&#19979;&#26399;\&#35211;&#31309;&#26360;&#65293;(99N315)&#65293;&#27798;&#32260;%20%20%20%20%20&#65402;&#65392;&#65433;&#65406;&#65437;&#65408;&#12288;&#65418;&#65392;&#65412;&#65438;&#65288;&#28155;&#20184;&#65289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anakahi\AppData\Local\Microsoft\Windows\INetCache\Content.Outlook\Z6NZCT43\&#31038;&#20869;&#38480;&#23450;EC+&#35336;&#31639;&#12471;&#12540;&#12488;_ver4.04_UiPath_20191016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UBLICA\&#20013;&#22478;\WINDOWS\&#65411;&#65438;&#65405;&#65400;&#65412;&#65391;&#65420;&#65439;\&#20181;&#25499;&#26696;&#20214;\WINDOWS\&#65411;&#65438;&#65405;&#65400;&#65412;&#65391;&#65420;&#65439;\GYOUMU\ENI-PC\&#35211;&#31309;&#26360;\&#35430;&#31639;1425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Internet0124.xls3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dcpsv01\&#12481;&#12540;&#12512;&#12456;&#12522;&#12450;\My%20Documents\401k\&#12510;&#12463;&#12525;&#12385;&#12419;&#12435;\df&#19968;&#35239;h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azu\I\&#26494;&#19979;\Excel\&#26087;&#12471;&#12473;&#12486;&#12512;&#23450;&#32681;&#26360;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do.ns-sol.co.jp/share/PRJ_YAMAHA_DC_OUTSOURCING/YAMAHA_NSSOL/03_&#26908;&#35342;&#24773;&#22577;/&#12450;&#12540;&#12461;&#12486;&#12463;&#12481;&#12515;&#20998;&#31185;&#20250;/00_&#23550;&#24540;&#28168;&#12415;/20110824_&#22522;&#30436;&#19968;&#35239;&#20316;&#25104;&#12479;&#12473;&#12463;/&#12471;&#12473;&#12486;&#12512;_&#26989;&#21209;&#31649;&#29702;&#21488;&#24115;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aubrow_2\&#35469;&#35388;pf&#38283;&#30330;\WINDOWS\Temporary%20Internet%20Files\OLK10B4\&#26087;&#21697;&#36074;&#31649;&#29702;&#22259;\HIT\0304_P2_IT1_WBS_&#32218;&#23550;&#31807;0106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aubrow_2\&#35469;&#35388;pf&#38283;&#30330;\WINDOWS\Temporary%20Internet%20Files\OLK10B4\&#26087;&#21697;&#36074;&#31649;&#29702;&#22259;\&#27096;&#24335;&#65332;&#65305;&#35430;&#39443;&#32080;&#26524;&#22577;&#21578;&#26360;&#65288;&#65353;&#65332;&#65297;&#65298;&#65299;&#65300;&#65289;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5nsd1p1a1frd01\d1fr45-rb06w10p01$\Users\ogata.makoto\Documents\&#26263;&#21495;&#21270;&#12373;&#12428;&#12383;&#12487;&#12540;&#12479;\&#9733;&#9733;&#25216;&#34899;&#20225;&#30011;\abs2.0\&#9733;&#9733;&#12527;&#12540;&#12463;&#9733;&#9733;\&#12467;&#12473;&#12488;&#31309;&#12415;&#19978;&#12370;\&#12467;&#12473;&#12488;&#31309;&#12415;&#19978;&#12370;&#12510;&#12473;&#12479;_&#12510;&#12540;&#12472;_20111102_04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do.ns-sol.co.jp/DOCUME~1/inagaki/LOCALS~1/Temp/20101203&#23487;&#38988;.zip%20&#12398;&#19968;&#26178;&#12487;&#12451;&#12524;&#12463;&#12488;&#12522;%204/&#23487;&#38988;/&#25351;&#27161;&#12486;&#12473;&#12488;(&#12452;&#12531;&#12501;&#12521;&#31995;)_20100903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ptos-svr\Server\MACRO\PROGRESS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dcpsv01\&#20849;&#36890;\&#22806;&#37096;&#20181;&#27096;&#26360;\&#26989;&#21209;&#31995;&#65334;&#65297;&#65294;&#65296;\&#8544;&#65294;&#27010;&#35201;&#32232;\&#8545;&#65294;&#12471;&#12473;&#12486;&#12512;&#12398;&#35373;&#35336;&#26041;&#37341;\&#20316;&#25104;&#36039;&#26009;\&#20849;&#36890;&#26989;&#21209;\&#20849;&#36890;&#26989;&#21209;&#27010;&#35500;v1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5nsd1p1a1frd01\d1fr45-rb06w10p01$\Users\ogata.makoto\Documents\&#26263;&#21495;&#21270;&#12373;&#12428;&#12383;&#12487;&#12540;&#12479;\&#9733;&#9733;&#25216;&#34899;&#20225;&#30011;\abs2.0\&#9733;&#9733;&#12527;&#12540;&#12463;&#9733;&#9733;\&#12467;&#12473;&#12488;&#31309;&#12415;&#19978;&#12370;\&#12467;&#12473;&#12488;&#31309;&#12415;&#19978;&#12370;&#12510;&#12473;&#12479;_&#12510;&#12540;&#12472;_20111022_01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ptos-svr\Server\MACRO\&#36914;&#25431;CXXX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do.ns-sol.co.jp/DOCUME~1/648413~1/LOCALS~1/Temp/notes739F48/&#25351;&#27161;&#12486;&#12473;&#12488;(&#12452;&#12531;&#12501;&#12521;&#31995;)_2010090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ワイズマン#5-1_ラック構成図_20110628.xlsx"/>
    </sheetNames>
    <definedNames>
      <definedName name="__SB1" sheetId="0"/>
      <definedName name="__SB2" sheetId="0"/>
      <definedName name="__SB3" sheetId="0"/>
      <definedName name="__SB4" sheetId="0"/>
    </defined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要注意ソフトウェア_R01"/>
    </sheetNames>
    <definedNames>
      <definedName name="_SB1"/>
      <definedName name="_SB2"/>
      <definedName name="_SB3"/>
      <definedName name="_SB4"/>
      <definedName name="ChCHECK1"/>
      <definedName name="dka34_check"/>
      <definedName name="ｆ"/>
      <definedName name="ｆｄｇｆ"/>
      <definedName name="ｆｆ"/>
      <definedName name="ｆｆｆ"/>
      <definedName name="ｆｆｆｆ"/>
      <definedName name="ｆｒ"/>
      <definedName name="main"/>
      <definedName name="OptCHECK1"/>
      <definedName name="OptCHECK2"/>
      <definedName name="SAVE1"/>
      <definedName name="SAVE2"/>
      <definedName name="SB価格算出"/>
      <definedName name="scsicable_check"/>
      <definedName name="んｆｆ"/>
      <definedName name="移動1"/>
      <definedName name="移動2"/>
      <definedName name="移動A"/>
      <definedName name="移動B"/>
      <definedName name="移動D"/>
      <definedName name="解除"/>
      <definedName name="開発1"/>
      <definedName name="初期化1"/>
      <definedName name="設定"/>
      <definedName name="注意1"/>
      <definedName name="訂正1"/>
      <definedName name="範囲1"/>
      <definedName name="表示1"/>
      <definedName name="保護"/>
    </definedNames>
    <sheetDataSet>
      <sheetData sheetId="0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御見積書"/>
      <sheetName val="発注書"/>
      <sheetName val="添付"/>
      <sheetName val="MKI見積"/>
      <sheetName val="見積（控）"/>
      <sheetName val="請書"/>
      <sheetName val="注文書"/>
      <sheetName val="決裁書"/>
      <sheetName val="納品書"/>
      <sheetName val="納品添付 "/>
      <sheetName val="検収書 "/>
      <sheetName val="前受請求"/>
      <sheetName val="Sheet4"/>
      <sheetName val="Sheet5"/>
      <sheetName val="Sheet6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更新履歴"/>
      <sheetName val="注意事項_計算ロジック_価格定義"/>
      <sheetName val="計算表_第1 UiPath"/>
      <sheetName val="計算表_第1 BluePrism"/>
      <sheetName val="計算表_第2、3"/>
      <sheetName val="計算表_導入後"/>
      <sheetName val="AWS見積"/>
      <sheetName val="インスタンススペック表"/>
      <sheetName val="標準インスタンス価格表"/>
      <sheetName val="重度使用リザーブド価格表"/>
      <sheetName val="中度使用リザーブド価格表"/>
      <sheetName val="軽度使用リザーブド価格表"/>
      <sheetName val="All Upfrontリザーブド価格表"/>
      <sheetName val="Partial Upfrontリザーブド価格表"/>
      <sheetName val="No Upfrontリザーブド価格表"/>
      <sheetName val="OS"/>
      <sheetName val="EC+"/>
      <sheetName val="EBS"/>
      <sheetName val="EC+管理サー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1">
          <cell r="A1" t="str">
            <v>Windows</v>
          </cell>
          <cell r="B1">
            <v>2</v>
          </cell>
        </row>
        <row r="2">
          <cell r="A2" t="str">
            <v>SQL STD</v>
          </cell>
          <cell r="B2">
            <v>3</v>
          </cell>
        </row>
        <row r="3">
          <cell r="A3" t="str">
            <v>Linux</v>
          </cell>
          <cell r="B3">
            <v>1</v>
          </cell>
        </row>
        <row r="4">
          <cell r="A4" t="str">
            <v>RedHat</v>
          </cell>
          <cell r="B4">
            <v>4</v>
          </cell>
        </row>
        <row r="5">
          <cell r="B5">
            <v>5</v>
          </cell>
        </row>
        <row r="6">
          <cell r="B6">
            <v>6</v>
          </cell>
        </row>
        <row r="7">
          <cell r="B7">
            <v>7</v>
          </cell>
        </row>
        <row r="8">
          <cell r="B8">
            <v>8</v>
          </cell>
        </row>
        <row r="9">
          <cell r="B9">
            <v>9</v>
          </cell>
        </row>
        <row r="10">
          <cell r="B10">
            <v>10</v>
          </cell>
        </row>
      </sheetData>
      <sheetData sheetId="16">
        <row r="3">
          <cell r="A3" t="str">
            <v>m3.medium</v>
          </cell>
          <cell r="B3">
            <v>11000</v>
          </cell>
          <cell r="C3">
            <v>6600</v>
          </cell>
          <cell r="D3">
            <v>15</v>
          </cell>
          <cell r="E3">
            <v>15.068493150684931</v>
          </cell>
          <cell r="F3">
            <v>5000</v>
          </cell>
          <cell r="G3">
            <v>0.2932123569798693</v>
          </cell>
          <cell r="H3">
            <v>0.13175905932310039</v>
          </cell>
          <cell r="I3">
            <v>11000</v>
          </cell>
          <cell r="J3">
            <v>10950</v>
          </cell>
          <cell r="K3">
            <v>11723.8</v>
          </cell>
          <cell r="L3">
            <v>0.4829362524146813</v>
          </cell>
          <cell r="M3">
            <v>7708.8</v>
          </cell>
          <cell r="N3">
            <v>0.58685446009389675</v>
          </cell>
          <cell r="O3">
            <v>23611.703999999998</v>
          </cell>
          <cell r="P3">
            <v>19275.504000000001</v>
          </cell>
        </row>
        <row r="4">
          <cell r="A4" t="str">
            <v>m3.large</v>
          </cell>
          <cell r="B4">
            <v>22000</v>
          </cell>
          <cell r="C4">
            <v>13200</v>
          </cell>
          <cell r="D4">
            <v>30</v>
          </cell>
          <cell r="E4">
            <v>30.136986301369863</v>
          </cell>
          <cell r="F4">
            <v>10000</v>
          </cell>
          <cell r="G4">
            <v>0.2932123569798693</v>
          </cell>
          <cell r="H4">
            <v>0.13175905932310039</v>
          </cell>
          <cell r="I4">
            <v>22000</v>
          </cell>
          <cell r="J4">
            <v>21900</v>
          </cell>
          <cell r="K4">
            <v>23447.599999999999</v>
          </cell>
          <cell r="L4">
            <v>0.4829362524146813</v>
          </cell>
          <cell r="M4">
            <v>15497.900000000001</v>
          </cell>
          <cell r="N4">
            <v>0.58559437829396832</v>
          </cell>
          <cell r="O4">
            <v>47223.407999999996</v>
          </cell>
          <cell r="P4">
            <v>38637.732000000004</v>
          </cell>
        </row>
        <row r="5">
          <cell r="A5" t="str">
            <v>m3.xlarge</v>
          </cell>
          <cell r="B5">
            <v>33000</v>
          </cell>
          <cell r="C5">
            <v>19800</v>
          </cell>
          <cell r="D5">
            <v>45</v>
          </cell>
          <cell r="E5">
            <v>45.205479452054796</v>
          </cell>
          <cell r="F5">
            <v>10000</v>
          </cell>
          <cell r="G5">
            <v>0.32007135655140251</v>
          </cell>
          <cell r="H5">
            <v>0.19251242593599791</v>
          </cell>
          <cell r="I5">
            <v>33000</v>
          </cell>
          <cell r="J5">
            <v>32850</v>
          </cell>
          <cell r="K5">
            <v>46814.899999999994</v>
          </cell>
          <cell r="L5">
            <v>0.41235224044717311</v>
          </cell>
          <cell r="M5">
            <v>30915.5</v>
          </cell>
          <cell r="N5">
            <v>0.51516886090440761</v>
          </cell>
          <cell r="O5">
            <v>83410.092000000004</v>
          </cell>
          <cell r="P5">
            <v>66238.740000000005</v>
          </cell>
        </row>
        <row r="6">
          <cell r="A6" t="str">
            <v>m3.2xlarge</v>
          </cell>
          <cell r="B6">
            <v>44000</v>
          </cell>
          <cell r="C6">
            <v>26400</v>
          </cell>
          <cell r="D6">
            <v>60</v>
          </cell>
          <cell r="E6">
            <v>60.273972602739725</v>
          </cell>
          <cell r="F6">
            <v>10000</v>
          </cell>
          <cell r="G6">
            <v>0.28590360662718012</v>
          </cell>
          <cell r="H6">
            <v>0.18734590282586167</v>
          </cell>
          <cell r="I6">
            <v>44000</v>
          </cell>
          <cell r="J6">
            <v>43800</v>
          </cell>
          <cell r="K6">
            <v>93629.799999999988</v>
          </cell>
          <cell r="L6">
            <v>0.31870816955274622</v>
          </cell>
          <cell r="M6">
            <v>61831</v>
          </cell>
          <cell r="N6">
            <v>0.414651002073255</v>
          </cell>
          <cell r="O6">
            <v>144920.18400000001</v>
          </cell>
          <cell r="P6">
            <v>110577.48000000001</v>
          </cell>
        </row>
        <row r="7">
          <cell r="A7" t="str">
            <v>m4.large</v>
          </cell>
          <cell r="B7">
            <v>22000</v>
          </cell>
          <cell r="C7">
            <v>13200</v>
          </cell>
          <cell r="D7">
            <v>30</v>
          </cell>
          <cell r="E7">
            <v>30.136986301369863</v>
          </cell>
          <cell r="F7">
            <v>10000</v>
          </cell>
          <cell r="G7">
            <v>0.32598996006510611</v>
          </cell>
          <cell r="H7">
            <v>0.14273322094380261</v>
          </cell>
          <cell r="I7">
            <v>22000</v>
          </cell>
          <cell r="J7">
            <v>21900</v>
          </cell>
          <cell r="K7">
            <v>17746.300000000003</v>
          </cell>
          <cell r="L7">
            <v>0.55238445958387028</v>
          </cell>
          <cell r="M7">
            <v>10358.700000000001</v>
          </cell>
          <cell r="N7">
            <v>0.67888662593346905</v>
          </cell>
          <cell r="O7">
            <v>41066.004000000001</v>
          </cell>
          <cell r="P7">
            <v>33087.396000000001</v>
          </cell>
        </row>
        <row r="8">
          <cell r="A8" t="str">
            <v>m4.xlarge</v>
          </cell>
          <cell r="B8">
            <v>33000</v>
          </cell>
          <cell r="C8">
            <v>19800</v>
          </cell>
          <cell r="D8">
            <v>45</v>
          </cell>
          <cell r="E8">
            <v>45.205479452054796</v>
          </cell>
          <cell r="F8">
            <v>10000</v>
          </cell>
          <cell r="G8">
            <v>0.36224142183127661</v>
          </cell>
          <cell r="H8">
            <v>0.21742596608739195</v>
          </cell>
          <cell r="I8">
            <v>33000</v>
          </cell>
          <cell r="J8">
            <v>32850</v>
          </cell>
          <cell r="K8">
            <v>35492.600000000006</v>
          </cell>
          <cell r="L8">
            <v>0.48066652424695572</v>
          </cell>
          <cell r="M8">
            <v>20717.400000000001</v>
          </cell>
          <cell r="N8">
            <v>0.61324611610793134</v>
          </cell>
          <cell r="O8">
            <v>71182.008000000002</v>
          </cell>
          <cell r="P8">
            <v>55224.792000000001</v>
          </cell>
        </row>
        <row r="9">
          <cell r="A9" t="str">
            <v>m4.2xlarge</v>
          </cell>
          <cell r="B9">
            <v>44000</v>
          </cell>
          <cell r="C9">
            <v>26400</v>
          </cell>
          <cell r="D9">
            <v>60</v>
          </cell>
          <cell r="E9">
            <v>60.273972602739725</v>
          </cell>
          <cell r="F9">
            <v>10000</v>
          </cell>
          <cell r="G9">
            <v>0.32883719036833642</v>
          </cell>
          <cell r="H9">
            <v>0.21422429337509996</v>
          </cell>
          <cell r="I9">
            <v>44000</v>
          </cell>
          <cell r="J9">
            <v>43800</v>
          </cell>
          <cell r="K9">
            <v>70985.200000000012</v>
          </cell>
          <cell r="L9">
            <v>0.38158229458153137</v>
          </cell>
          <cell r="M9">
            <v>41434.800000000003</v>
          </cell>
          <cell r="N9">
            <v>0.51387461459403905</v>
          </cell>
          <cell r="O9">
            <v>120464.01600000002</v>
          </cell>
          <cell r="P9">
            <v>88549.584000000003</v>
          </cell>
        </row>
        <row r="10">
          <cell r="A10" t="str">
            <v>m4.4xlarge</v>
          </cell>
          <cell r="B10">
            <v>55000</v>
          </cell>
          <cell r="C10">
            <v>33000</v>
          </cell>
          <cell r="D10">
            <v>75</v>
          </cell>
          <cell r="E10">
            <v>75.342465753424662</v>
          </cell>
          <cell r="F10">
            <v>10000</v>
          </cell>
          <cell r="G10">
            <v>0.27052351744963438</v>
          </cell>
          <cell r="H10">
            <v>0.18439325329212938</v>
          </cell>
          <cell r="I10">
            <v>55000</v>
          </cell>
          <cell r="J10">
            <v>54750</v>
          </cell>
          <cell r="K10">
            <v>141970.40000000002</v>
          </cell>
          <cell r="L10">
            <v>0.27831378952055807</v>
          </cell>
          <cell r="M10">
            <v>82869.600000000006</v>
          </cell>
          <cell r="N10">
            <v>0.39783577339274345</v>
          </cell>
          <cell r="O10">
            <v>208078.03200000004</v>
          </cell>
          <cell r="P10">
            <v>144249.16800000001</v>
          </cell>
        </row>
        <row r="11">
          <cell r="A11" t="str">
            <v>m4.10xlarge</v>
          </cell>
          <cell r="B11">
            <v>55000</v>
          </cell>
          <cell r="C11">
            <v>33000</v>
          </cell>
          <cell r="D11">
            <v>75</v>
          </cell>
          <cell r="E11">
            <v>75.342465753424662</v>
          </cell>
          <cell r="F11">
            <v>10000</v>
          </cell>
          <cell r="G11">
            <v>0.16744402857382212</v>
          </cell>
          <cell r="H11">
            <v>0.12344847743111502</v>
          </cell>
          <cell r="I11">
            <v>55000</v>
          </cell>
          <cell r="J11">
            <v>54750</v>
          </cell>
          <cell r="K11">
            <v>354926</v>
          </cell>
          <cell r="L11">
            <v>0.13364219529579471</v>
          </cell>
          <cell r="M11">
            <v>207174</v>
          </cell>
          <cell r="N11">
            <v>0.20903010033444816</v>
          </cell>
          <cell r="O11">
            <v>438070.08</v>
          </cell>
          <cell r="P11">
            <v>278497.92000000004</v>
          </cell>
        </row>
        <row r="12">
          <cell r="A12" t="str">
            <v>m4.16xlarge</v>
          </cell>
          <cell r="B12">
            <v>55000</v>
          </cell>
          <cell r="C12">
            <v>33000</v>
          </cell>
          <cell r="D12">
            <v>75</v>
          </cell>
          <cell r="E12">
            <v>75.342465753424662</v>
          </cell>
          <cell r="F12">
            <v>10000</v>
          </cell>
          <cell r="G12">
            <v>0.13531181645711507</v>
          </cell>
          <cell r="H12">
            <v>0.10587845258568317</v>
          </cell>
          <cell r="I12">
            <v>55000</v>
          </cell>
          <cell r="J12">
            <v>54750</v>
          </cell>
          <cell r="K12">
            <v>567881.60000000009</v>
          </cell>
          <cell r="L12">
            <v>8.7933217652300319E-2</v>
          </cell>
          <cell r="M12">
            <v>331478.40000000002</v>
          </cell>
          <cell r="N12">
            <v>0.1417555001134044</v>
          </cell>
          <cell r="O12">
            <v>668062.12800000014</v>
          </cell>
          <cell r="P12">
            <v>412746.67200000002</v>
          </cell>
        </row>
        <row r="13">
          <cell r="A13" t="str">
            <v>m5.large</v>
          </cell>
          <cell r="B13">
            <v>22000</v>
          </cell>
          <cell r="C13">
            <v>13200</v>
          </cell>
          <cell r="D13">
            <v>30</v>
          </cell>
          <cell r="E13">
            <v>30.136986301369863</v>
          </cell>
          <cell r="F13">
            <v>10000</v>
          </cell>
          <cell r="G13">
            <v>0.32867175169516222</v>
          </cell>
          <cell r="H13">
            <v>0.14366556533956248</v>
          </cell>
          <cell r="I13">
            <v>22000</v>
          </cell>
          <cell r="J13">
            <v>21900</v>
          </cell>
          <cell r="K13">
            <v>17344.8</v>
          </cell>
          <cell r="L13">
            <v>0.55803571428571419</v>
          </cell>
          <cell r="M13">
            <v>9957.1999999999989</v>
          </cell>
          <cell r="N13">
            <v>0.68744271310724114</v>
          </cell>
          <cell r="O13">
            <v>40632.384000000005</v>
          </cell>
          <cell r="P13">
            <v>32653.775999999998</v>
          </cell>
        </row>
        <row r="14">
          <cell r="A14" t="str">
            <v>m5.xlarge</v>
          </cell>
          <cell r="B14">
            <v>33000</v>
          </cell>
          <cell r="C14">
            <v>19800</v>
          </cell>
          <cell r="D14">
            <v>45</v>
          </cell>
          <cell r="E14">
            <v>45.205479452054796</v>
          </cell>
          <cell r="F14">
            <v>10000</v>
          </cell>
          <cell r="G14">
            <v>0.36578802047570774</v>
          </cell>
          <cell r="H14">
            <v>0.21959694309771757</v>
          </cell>
          <cell r="I14">
            <v>33000</v>
          </cell>
          <cell r="J14">
            <v>32850</v>
          </cell>
          <cell r="K14">
            <v>34689.599999999999</v>
          </cell>
          <cell r="L14">
            <v>0.48638132295719838</v>
          </cell>
          <cell r="M14">
            <v>19914.399999999998</v>
          </cell>
          <cell r="N14">
            <v>0.62257885998893203</v>
          </cell>
          <cell r="O14">
            <v>70314.768000000011</v>
          </cell>
          <cell r="P14">
            <v>54357.551999999996</v>
          </cell>
        </row>
        <row r="15">
          <cell r="A15" t="str">
            <v>m5.2xlarge</v>
          </cell>
          <cell r="B15">
            <v>44000</v>
          </cell>
          <cell r="C15">
            <v>26400</v>
          </cell>
          <cell r="D15">
            <v>60</v>
          </cell>
          <cell r="E15">
            <v>60.273972602739725</v>
          </cell>
          <cell r="F15">
            <v>10000</v>
          </cell>
          <cell r="G15">
            <v>0.33255268060576643</v>
          </cell>
          <cell r="H15">
            <v>0.21662327556695807</v>
          </cell>
          <cell r="I15">
            <v>44000</v>
          </cell>
          <cell r="J15">
            <v>43800</v>
          </cell>
          <cell r="K15">
            <v>69379.199999999997</v>
          </cell>
          <cell r="L15">
            <v>0.38699690402476783</v>
          </cell>
          <cell r="M15">
            <v>39828.799999999996</v>
          </cell>
          <cell r="N15">
            <v>0.52374301675977664</v>
          </cell>
          <cell r="O15">
            <v>118729.53600000001</v>
          </cell>
          <cell r="P15">
            <v>86815.103999999992</v>
          </cell>
        </row>
        <row r="16">
          <cell r="A16" t="str">
            <v>m5.4xlarge</v>
          </cell>
          <cell r="B16">
            <v>55000</v>
          </cell>
          <cell r="C16">
            <v>33000</v>
          </cell>
          <cell r="D16">
            <v>75</v>
          </cell>
          <cell r="E16">
            <v>75.342465753424662</v>
          </cell>
          <cell r="F16">
            <v>10000</v>
          </cell>
          <cell r="G16">
            <v>0.27385007386931831</v>
          </cell>
          <cell r="H16">
            <v>0.18648608257182883</v>
          </cell>
          <cell r="I16">
            <v>55000</v>
          </cell>
          <cell r="J16">
            <v>54750</v>
          </cell>
          <cell r="K16">
            <v>138758.39999999999</v>
          </cell>
          <cell r="L16">
            <v>0.28293345405160708</v>
          </cell>
          <cell r="M16">
            <v>79657.599999999991</v>
          </cell>
          <cell r="N16">
            <v>0.40734303714968506</v>
          </cell>
          <cell r="O16">
            <v>204609.07200000001</v>
          </cell>
          <cell r="P16">
            <v>140780.20799999998</v>
          </cell>
        </row>
        <row r="17">
          <cell r="A17" t="str">
            <v>m5.12xlarge</v>
          </cell>
          <cell r="B17">
            <v>55000</v>
          </cell>
          <cell r="C17">
            <v>33000</v>
          </cell>
          <cell r="D17">
            <v>75</v>
          </cell>
          <cell r="E17">
            <v>75.342465753424662</v>
          </cell>
          <cell r="F17">
            <v>10000</v>
          </cell>
          <cell r="G17">
            <v>0.15518341597096608</v>
          </cell>
          <cell r="H17">
            <v>0.11666944508213169</v>
          </cell>
          <cell r="I17">
            <v>55000</v>
          </cell>
          <cell r="J17">
            <v>54750</v>
          </cell>
          <cell r="K17">
            <v>416275.20000000001</v>
          </cell>
          <cell r="L17">
            <v>0.11623581923005392</v>
          </cell>
          <cell r="M17">
            <v>238972.79999999999</v>
          </cell>
          <cell r="N17">
            <v>0.1864002385923054</v>
          </cell>
          <cell r="O17">
            <v>504327.21600000001</v>
          </cell>
          <cell r="P17">
            <v>312840.62400000001</v>
          </cell>
        </row>
        <row r="18">
          <cell r="A18" t="str">
            <v>m5.24xlarge</v>
          </cell>
          <cell r="B18">
            <v>55000</v>
          </cell>
          <cell r="C18">
            <v>33000</v>
          </cell>
          <cell r="D18">
            <v>75</v>
          </cell>
          <cell r="E18">
            <v>75.342465753424662</v>
          </cell>
          <cell r="F18">
            <v>10000</v>
          </cell>
          <cell r="G18">
            <v>0.11696642415218589</v>
          </cell>
          <cell r="H18">
            <v>9.6125737242646087E-2</v>
          </cell>
          <cell r="I18">
            <v>55000</v>
          </cell>
          <cell r="J18">
            <v>54750</v>
          </cell>
          <cell r="K18">
            <v>832550.40000000002</v>
          </cell>
          <cell r="L18">
            <v>6.1704018165662948E-2</v>
          </cell>
          <cell r="M18">
            <v>477945.59999999998</v>
          </cell>
          <cell r="N18">
            <v>0.10277914816642</v>
          </cell>
          <cell r="O18">
            <v>953904.43200000003</v>
          </cell>
          <cell r="P18">
            <v>570931.24800000002</v>
          </cell>
        </row>
        <row r="19">
          <cell r="A19" t="str">
            <v>t2.nano</v>
          </cell>
          <cell r="B19">
            <v>2200</v>
          </cell>
          <cell r="C19">
            <v>1320</v>
          </cell>
          <cell r="D19">
            <v>3</v>
          </cell>
          <cell r="E19">
            <v>3.0136986301369864</v>
          </cell>
          <cell r="F19">
            <v>1000</v>
          </cell>
          <cell r="G19">
            <v>0.41313378197035761</v>
          </cell>
          <cell r="H19">
            <v>0.17607789632049975</v>
          </cell>
          <cell r="I19">
            <v>2200</v>
          </cell>
          <cell r="J19">
            <v>2190</v>
          </cell>
          <cell r="K19">
            <v>794.97</v>
          </cell>
          <cell r="L19">
            <v>0.73367571533382236</v>
          </cell>
          <cell r="M19">
            <v>610.28</v>
          </cell>
          <cell r="N19">
            <v>0.78206465067778941</v>
          </cell>
          <cell r="O19">
            <v>3048.5676000000003</v>
          </cell>
          <cell r="P19">
            <v>2849.1023999999998</v>
          </cell>
        </row>
        <row r="20">
          <cell r="A20" t="str">
            <v>t2.micro</v>
          </cell>
          <cell r="B20">
            <v>2200</v>
          </cell>
          <cell r="C20">
            <v>1320</v>
          </cell>
          <cell r="D20">
            <v>3</v>
          </cell>
          <cell r="E20">
            <v>3.0136986301369864</v>
          </cell>
          <cell r="F20">
            <v>1000</v>
          </cell>
          <cell r="G20">
            <v>0.33881781767450869</v>
          </cell>
          <cell r="H20">
            <v>0.14724244083700982</v>
          </cell>
          <cell r="I20">
            <v>2200</v>
          </cell>
          <cell r="J20">
            <v>2190</v>
          </cell>
          <cell r="K20">
            <v>1589.94</v>
          </cell>
          <cell r="L20">
            <v>0.57937427578215528</v>
          </cell>
          <cell r="M20">
            <v>1220.56</v>
          </cell>
          <cell r="N20">
            <v>0.64212328767123283</v>
          </cell>
          <cell r="O20">
            <v>3907.1352000000002</v>
          </cell>
          <cell r="P20">
            <v>3508.2048</v>
          </cell>
        </row>
        <row r="21">
          <cell r="A21" t="str">
            <v>t2.small</v>
          </cell>
          <cell r="B21">
            <v>2200</v>
          </cell>
          <cell r="C21">
            <v>1320</v>
          </cell>
          <cell r="D21">
            <v>3</v>
          </cell>
          <cell r="E21">
            <v>3.0136986301369864</v>
          </cell>
          <cell r="F21">
            <v>1000</v>
          </cell>
          <cell r="G21">
            <v>0.25813287200415513</v>
          </cell>
          <cell r="H21">
            <v>0.12081567762742312</v>
          </cell>
          <cell r="I21">
            <v>2200</v>
          </cell>
          <cell r="J21">
            <v>2190</v>
          </cell>
          <cell r="K21">
            <v>3179.88</v>
          </cell>
          <cell r="L21">
            <v>0.40783034257748774</v>
          </cell>
          <cell r="M21">
            <v>2441.12</v>
          </cell>
          <cell r="N21">
            <v>0.4728877679697352</v>
          </cell>
          <cell r="O21">
            <v>5624.2704000000003</v>
          </cell>
          <cell r="P21">
            <v>4826.4096</v>
          </cell>
        </row>
        <row r="22">
          <cell r="A22" t="str">
            <v>t2.medium</v>
          </cell>
          <cell r="B22">
            <v>6600</v>
          </cell>
          <cell r="C22">
            <v>3960</v>
          </cell>
          <cell r="D22">
            <v>9</v>
          </cell>
          <cell r="E22">
            <v>9.0410958904109595</v>
          </cell>
          <cell r="F22">
            <v>3000</v>
          </cell>
          <cell r="G22">
            <v>0.30566150680603038</v>
          </cell>
          <cell r="H22">
            <v>0.13583763318879177</v>
          </cell>
          <cell r="I22">
            <v>6600</v>
          </cell>
          <cell r="J22">
            <v>6570</v>
          </cell>
          <cell r="K22">
            <v>6327.6399999999994</v>
          </cell>
          <cell r="L22">
            <v>0.50939551731944765</v>
          </cell>
          <cell r="M22">
            <v>4882.24</v>
          </cell>
          <cell r="N22">
            <v>0.57368689444161147</v>
          </cell>
          <cell r="O22">
            <v>13403.851200000001</v>
          </cell>
          <cell r="P22">
            <v>11842.8192</v>
          </cell>
        </row>
        <row r="23">
          <cell r="A23" t="str">
            <v>t2.large</v>
          </cell>
          <cell r="B23">
            <v>11000</v>
          </cell>
          <cell r="C23">
            <v>6600</v>
          </cell>
          <cell r="D23">
            <v>15</v>
          </cell>
          <cell r="E23">
            <v>15.068493150684931</v>
          </cell>
          <cell r="F23">
            <v>5000</v>
          </cell>
          <cell r="G23">
            <v>0.29035857245883423</v>
          </cell>
          <cell r="H23">
            <v>0.13083897635497505</v>
          </cell>
          <cell r="I23">
            <v>11000</v>
          </cell>
          <cell r="J23">
            <v>10950</v>
          </cell>
          <cell r="K23">
            <v>12012.880000000001</v>
          </cell>
          <cell r="L23">
            <v>0.47685656154628686</v>
          </cell>
          <cell r="M23">
            <v>9764.48</v>
          </cell>
          <cell r="N23">
            <v>0.52861573160417252</v>
          </cell>
          <cell r="O23">
            <v>23923.910400000001</v>
          </cell>
          <cell r="P23">
            <v>21495.6384</v>
          </cell>
        </row>
        <row r="24">
          <cell r="A24" t="str">
            <v>t2.xlarge</v>
          </cell>
          <cell r="B24">
            <v>22000</v>
          </cell>
          <cell r="C24">
            <v>13200</v>
          </cell>
          <cell r="D24">
            <v>30</v>
          </cell>
          <cell r="E24">
            <v>30.136986301369863</v>
          </cell>
          <cell r="F24">
            <v>10000</v>
          </cell>
          <cell r="G24">
            <v>0.29639017339796336</v>
          </cell>
          <cell r="H24">
            <v>0.13279007597355083</v>
          </cell>
          <cell r="I24">
            <v>22000</v>
          </cell>
          <cell r="J24">
            <v>21900</v>
          </cell>
          <cell r="K24">
            <v>22821.260000000002</v>
          </cell>
          <cell r="L24">
            <v>0.48969997714733438</v>
          </cell>
          <cell r="M24">
            <v>19528.96</v>
          </cell>
          <cell r="N24">
            <v>0.52861573160417252</v>
          </cell>
          <cell r="O24">
            <v>46546.960800000001</v>
          </cell>
          <cell r="P24">
            <v>42991.2768</v>
          </cell>
        </row>
        <row r="25">
          <cell r="A25" t="str">
            <v>t2.2xlarge</v>
          </cell>
          <cell r="B25">
            <v>33000</v>
          </cell>
          <cell r="C25">
            <v>19800</v>
          </cell>
          <cell r="D25">
            <v>45</v>
          </cell>
          <cell r="E25">
            <v>45.205479452054796</v>
          </cell>
          <cell r="F25">
            <v>10000</v>
          </cell>
          <cell r="G25">
            <v>0.32923417880294747</v>
          </cell>
          <cell r="H25">
            <v>0.19778848047932751</v>
          </cell>
          <cell r="I25">
            <v>33000</v>
          </cell>
          <cell r="J25">
            <v>32850</v>
          </cell>
          <cell r="K25">
            <v>44036.52</v>
          </cell>
          <cell r="L25">
            <v>0.42725304773840728</v>
          </cell>
          <cell r="M25">
            <v>39057.919999999998</v>
          </cell>
          <cell r="N25">
            <v>0.45683424023389912</v>
          </cell>
          <cell r="O25">
            <v>80409.441599999991</v>
          </cell>
          <cell r="P25">
            <v>75032.553599999999</v>
          </cell>
        </row>
        <row r="26">
          <cell r="A26" t="str">
            <v>t3.nano</v>
          </cell>
          <cell r="B26">
            <v>2200</v>
          </cell>
          <cell r="C26">
            <v>1320</v>
          </cell>
          <cell r="D26">
            <v>3</v>
          </cell>
          <cell r="E26">
            <v>3.0136986301369864</v>
          </cell>
          <cell r="F26">
            <v>1000</v>
          </cell>
          <cell r="G26">
            <v>0.39930132266483886</v>
          </cell>
          <cell r="H26">
            <v>0.17033027388777597</v>
          </cell>
          <cell r="I26">
            <v>2200</v>
          </cell>
          <cell r="J26">
            <v>2190</v>
          </cell>
          <cell r="K26">
            <v>915.42000000000007</v>
          </cell>
          <cell r="L26">
            <v>0.70521861777150918</v>
          </cell>
          <cell r="M26">
            <v>546.04</v>
          </cell>
          <cell r="N26">
            <v>0.80042689434365</v>
          </cell>
          <cell r="O26">
            <v>3178.6536000000001</v>
          </cell>
          <cell r="P26">
            <v>2779.7231999999999</v>
          </cell>
        </row>
        <row r="27">
          <cell r="A27" t="str">
            <v>t3.micro</v>
          </cell>
          <cell r="B27">
            <v>2200</v>
          </cell>
          <cell r="C27">
            <v>1320</v>
          </cell>
          <cell r="D27">
            <v>3</v>
          </cell>
          <cell r="E27">
            <v>3.0136986301369864</v>
          </cell>
          <cell r="F27">
            <v>1000</v>
          </cell>
          <cell r="G27">
            <v>0.32232898743956395</v>
          </cell>
          <cell r="H27">
            <v>0.14146913578449713</v>
          </cell>
          <cell r="I27">
            <v>2200</v>
          </cell>
          <cell r="J27">
            <v>2190</v>
          </cell>
          <cell r="K27">
            <v>1830.8400000000001</v>
          </cell>
          <cell r="L27">
            <v>0.54466230936819171</v>
          </cell>
          <cell r="M27">
            <v>1092.08</v>
          </cell>
          <cell r="N27">
            <v>0.66725978647686834</v>
          </cell>
          <cell r="O27">
            <v>4167.3072000000002</v>
          </cell>
          <cell r="P27">
            <v>3369.4463999999998</v>
          </cell>
        </row>
        <row r="28">
          <cell r="A28" t="str">
            <v>t3.small</v>
          </cell>
          <cell r="B28">
            <v>2200</v>
          </cell>
          <cell r="C28">
            <v>1320</v>
          </cell>
          <cell r="D28">
            <v>3</v>
          </cell>
          <cell r="E28">
            <v>3.0136986301369864</v>
          </cell>
          <cell r="F28">
            <v>1000</v>
          </cell>
          <cell r="G28">
            <v>0.24257155736677832</v>
          </cell>
          <cell r="H28">
            <v>0.11620458928713349</v>
          </cell>
          <cell r="I28">
            <v>2200</v>
          </cell>
          <cell r="J28">
            <v>2190</v>
          </cell>
          <cell r="K28">
            <v>3661.6800000000003</v>
          </cell>
          <cell r="L28">
            <v>0.37425149700598803</v>
          </cell>
          <cell r="M28">
            <v>2184.16</v>
          </cell>
          <cell r="N28">
            <v>0.50066755674232311</v>
          </cell>
          <cell r="O28">
            <v>6144.6144000000004</v>
          </cell>
          <cell r="P28">
            <v>4548.8927999999996</v>
          </cell>
        </row>
        <row r="29">
          <cell r="A29" t="str">
            <v>t3.medium</v>
          </cell>
          <cell r="B29">
            <v>6600</v>
          </cell>
          <cell r="C29">
            <v>3960</v>
          </cell>
          <cell r="D29">
            <v>9</v>
          </cell>
          <cell r="E29">
            <v>9.0410958904109595</v>
          </cell>
          <cell r="F29">
            <v>3000</v>
          </cell>
          <cell r="G29">
            <v>0.31499321888324805</v>
          </cell>
          <cell r="H29">
            <v>0.1389659025108777</v>
          </cell>
          <cell r="I29">
            <v>6600</v>
          </cell>
          <cell r="J29">
            <v>6570</v>
          </cell>
          <cell r="K29">
            <v>5845.84</v>
          </cell>
          <cell r="L29">
            <v>0.52916274694261523</v>
          </cell>
          <cell r="M29">
            <v>4368.32</v>
          </cell>
          <cell r="N29">
            <v>0.60064068339562204</v>
          </cell>
          <cell r="O29">
            <v>12883.5072</v>
          </cell>
          <cell r="P29">
            <v>11287.785599999999</v>
          </cell>
        </row>
        <row r="30">
          <cell r="A30" t="str">
            <v>t3.large</v>
          </cell>
          <cell r="B30">
            <v>11000</v>
          </cell>
          <cell r="C30">
            <v>6600</v>
          </cell>
          <cell r="D30">
            <v>15</v>
          </cell>
          <cell r="E30">
            <v>15.068493150684931</v>
          </cell>
          <cell r="F30">
            <v>5000</v>
          </cell>
          <cell r="G30">
            <v>0.30120405339950929</v>
          </cell>
          <cell r="H30">
            <v>0.13436502043154061</v>
          </cell>
          <cell r="I30">
            <v>11000</v>
          </cell>
          <cell r="J30">
            <v>10950</v>
          </cell>
          <cell r="K30">
            <v>10952.919999999998</v>
          </cell>
          <cell r="L30">
            <v>0.49993334222103725</v>
          </cell>
          <cell r="M30">
            <v>8736.64</v>
          </cell>
          <cell r="N30">
            <v>0.55621477306437261</v>
          </cell>
          <cell r="O30">
            <v>22779.153599999998</v>
          </cell>
          <cell r="P30">
            <v>20385.571199999998</v>
          </cell>
        </row>
        <row r="31">
          <cell r="A31" t="str">
            <v>t3.xlarge</v>
          </cell>
          <cell r="B31">
            <v>22000</v>
          </cell>
          <cell r="C31">
            <v>13200</v>
          </cell>
          <cell r="D31">
            <v>30</v>
          </cell>
          <cell r="E31">
            <v>30.136986301369863</v>
          </cell>
          <cell r="F31">
            <v>10000</v>
          </cell>
          <cell r="G31">
            <v>0.29353409967871352</v>
          </cell>
          <cell r="H31">
            <v>0.13186313523539048</v>
          </cell>
          <cell r="I31">
            <v>22000</v>
          </cell>
          <cell r="J31">
            <v>21900</v>
          </cell>
          <cell r="K31">
            <v>23383.360000000001</v>
          </cell>
          <cell r="L31">
            <v>0.48362135671911272</v>
          </cell>
          <cell r="M31">
            <v>17473.28</v>
          </cell>
          <cell r="N31">
            <v>0.55621477306437261</v>
          </cell>
          <cell r="O31">
            <v>47154.0288</v>
          </cell>
          <cell r="P31">
            <v>40771.142399999997</v>
          </cell>
        </row>
        <row r="32">
          <cell r="A32" t="str">
            <v>t3.2xlarge</v>
          </cell>
          <cell r="B32">
            <v>33000</v>
          </cell>
          <cell r="C32">
            <v>19800</v>
          </cell>
          <cell r="D32">
            <v>45</v>
          </cell>
          <cell r="E32">
            <v>45.205479452054796</v>
          </cell>
          <cell r="F32">
            <v>10000</v>
          </cell>
          <cell r="G32">
            <v>0.32022463901734916</v>
          </cell>
          <cell r="H32">
            <v>0.19260008116054114</v>
          </cell>
          <cell r="I32">
            <v>33000</v>
          </cell>
          <cell r="J32">
            <v>32850</v>
          </cell>
          <cell r="K32">
            <v>46766.720000000001</v>
          </cell>
          <cell r="L32">
            <v>0.41260177510452578</v>
          </cell>
          <cell r="M32">
            <v>34946.559999999998</v>
          </cell>
          <cell r="N32">
            <v>0.48453785855801534</v>
          </cell>
          <cell r="O32">
            <v>83358.0576</v>
          </cell>
          <cell r="P32">
            <v>70592.284799999994</v>
          </cell>
        </row>
        <row r="33">
          <cell r="A33" t="str">
            <v>c3.large</v>
          </cell>
          <cell r="B33">
            <v>11000</v>
          </cell>
          <cell r="C33">
            <v>6600</v>
          </cell>
          <cell r="D33">
            <v>15</v>
          </cell>
          <cell r="E33">
            <v>15.068493150684931</v>
          </cell>
          <cell r="F33">
            <v>5000</v>
          </cell>
          <cell r="G33">
            <v>0.24115893265944094</v>
          </cell>
          <cell r="H33">
            <v>0.11579302919313922</v>
          </cell>
          <cell r="I33">
            <v>11000</v>
          </cell>
          <cell r="J33">
            <v>10950</v>
          </cell>
          <cell r="K33">
            <v>18549.3</v>
          </cell>
          <cell r="L33">
            <v>0.37119524870081666</v>
          </cell>
          <cell r="M33">
            <v>10278.4</v>
          </cell>
          <cell r="N33">
            <v>0.51581843191196697</v>
          </cell>
          <cell r="O33">
            <v>30983.243999999999</v>
          </cell>
          <cell r="P33">
            <v>22050.671999999999</v>
          </cell>
        </row>
        <row r="34">
          <cell r="A34" t="str">
            <v>c3.xlarge</v>
          </cell>
          <cell r="B34">
            <v>22000</v>
          </cell>
          <cell r="C34">
            <v>13200</v>
          </cell>
          <cell r="D34">
            <v>30</v>
          </cell>
          <cell r="E34">
            <v>30.136986301369863</v>
          </cell>
          <cell r="F34">
            <v>10000</v>
          </cell>
          <cell r="G34">
            <v>0.24115893265944094</v>
          </cell>
          <cell r="H34">
            <v>0.11579302919313922</v>
          </cell>
          <cell r="I34">
            <v>22000</v>
          </cell>
          <cell r="J34">
            <v>21900</v>
          </cell>
          <cell r="K34">
            <v>37098.6</v>
          </cell>
          <cell r="L34">
            <v>0.37119524870081666</v>
          </cell>
          <cell r="M34">
            <v>20476.5</v>
          </cell>
          <cell r="N34">
            <v>0.51679586563307489</v>
          </cell>
          <cell r="O34">
            <v>61966.487999999998</v>
          </cell>
          <cell r="P34">
            <v>44014.62</v>
          </cell>
        </row>
        <row r="35">
          <cell r="A35" t="str">
            <v>c3.2xlarge</v>
          </cell>
          <cell r="B35">
            <v>44000</v>
          </cell>
          <cell r="C35">
            <v>26400</v>
          </cell>
          <cell r="D35">
            <v>60</v>
          </cell>
          <cell r="E35">
            <v>60.273972602739725</v>
          </cell>
          <cell r="F35">
            <v>10000</v>
          </cell>
          <cell r="G35">
            <v>0.32154481133024787</v>
          </cell>
          <cell r="H35">
            <v>0.20955039265726688</v>
          </cell>
          <cell r="I35">
            <v>44000</v>
          </cell>
          <cell r="J35">
            <v>43800</v>
          </cell>
          <cell r="K35">
            <v>74277.5</v>
          </cell>
          <cell r="L35">
            <v>0.37094281298299847</v>
          </cell>
          <cell r="M35">
            <v>41033.300000000003</v>
          </cell>
          <cell r="N35">
            <v>0.51630668617158593</v>
          </cell>
          <cell r="O35">
            <v>124019.70000000001</v>
          </cell>
          <cell r="P35">
            <v>88115.964000000007</v>
          </cell>
        </row>
        <row r="36">
          <cell r="A36" t="str">
            <v>c3.4xlarge</v>
          </cell>
          <cell r="B36">
            <v>55000</v>
          </cell>
          <cell r="C36">
            <v>33000</v>
          </cell>
          <cell r="D36">
            <v>75</v>
          </cell>
          <cell r="E36">
            <v>75.342465753424662</v>
          </cell>
          <cell r="F36">
            <v>10000</v>
          </cell>
          <cell r="G36">
            <v>0.26411548282780567</v>
          </cell>
          <cell r="H36">
            <v>0.18038527690198608</v>
          </cell>
          <cell r="I36">
            <v>55000</v>
          </cell>
          <cell r="J36">
            <v>54750</v>
          </cell>
          <cell r="K36">
            <v>148474.70000000001</v>
          </cell>
          <cell r="L36">
            <v>0.26940622867200686</v>
          </cell>
          <cell r="M36">
            <v>81986.299999999988</v>
          </cell>
          <cell r="N36">
            <v>0.40040574448774763</v>
          </cell>
          <cell r="O36">
            <v>215102.67600000004</v>
          </cell>
          <cell r="P36">
            <v>143295.204</v>
          </cell>
        </row>
        <row r="37">
          <cell r="A37" t="str">
            <v>c3.8xlarge</v>
          </cell>
          <cell r="B37">
            <v>55000</v>
          </cell>
          <cell r="C37">
            <v>33000</v>
          </cell>
          <cell r="D37">
            <v>75</v>
          </cell>
          <cell r="E37">
            <v>75.342465753424662</v>
          </cell>
          <cell r="F37">
            <v>10000</v>
          </cell>
          <cell r="G37">
            <v>0.18297984548242574</v>
          </cell>
          <cell r="H37">
            <v>0.13217474096282472</v>
          </cell>
          <cell r="I37">
            <v>55000</v>
          </cell>
          <cell r="J37">
            <v>54750</v>
          </cell>
          <cell r="K37">
            <v>297029.7</v>
          </cell>
          <cell r="L37">
            <v>0.15563717860922616</v>
          </cell>
          <cell r="M37">
            <v>164052.90000000002</v>
          </cell>
          <cell r="N37">
            <v>0.25022520268241416</v>
          </cell>
          <cell r="O37">
            <v>375542.07600000006</v>
          </cell>
          <cell r="P37">
            <v>231927.13200000004</v>
          </cell>
        </row>
        <row r="38">
          <cell r="A38" t="str">
            <v>c4.large</v>
          </cell>
          <cell r="B38">
            <v>11000</v>
          </cell>
          <cell r="C38">
            <v>6600</v>
          </cell>
          <cell r="D38">
            <v>15</v>
          </cell>
          <cell r="E38">
            <v>15.068493150684931</v>
          </cell>
          <cell r="F38">
            <v>5000</v>
          </cell>
          <cell r="G38">
            <v>0.24745782026729771</v>
          </cell>
          <cell r="H38">
            <v>0.11763709570422952</v>
          </cell>
          <cell r="I38">
            <v>11000</v>
          </cell>
          <cell r="J38">
            <v>10950</v>
          </cell>
          <cell r="K38">
            <v>17505.399999999998</v>
          </cell>
          <cell r="L38">
            <v>0.38481272447408932</v>
          </cell>
          <cell r="M38">
            <v>10117.800000000001</v>
          </cell>
          <cell r="N38">
            <v>0.51975051975051967</v>
          </cell>
          <cell r="O38">
            <v>29855.831999999999</v>
          </cell>
          <cell r="P38">
            <v>21877.224000000002</v>
          </cell>
        </row>
        <row r="39">
          <cell r="A39" t="str">
            <v>c4.xlarge</v>
          </cell>
          <cell r="B39">
            <v>22000</v>
          </cell>
          <cell r="C39">
            <v>13200</v>
          </cell>
          <cell r="D39">
            <v>30</v>
          </cell>
          <cell r="E39">
            <v>30.136986301369863</v>
          </cell>
          <cell r="F39">
            <v>10000</v>
          </cell>
          <cell r="G39">
            <v>0.24745782026729771</v>
          </cell>
          <cell r="H39">
            <v>0.11763709570422952</v>
          </cell>
          <cell r="I39">
            <v>22000</v>
          </cell>
          <cell r="J39">
            <v>21900</v>
          </cell>
          <cell r="K39">
            <v>35010.799999999996</v>
          </cell>
          <cell r="L39">
            <v>0.38481272447408932</v>
          </cell>
          <cell r="M39">
            <v>20235.600000000002</v>
          </cell>
          <cell r="N39">
            <v>0.51975051975051967</v>
          </cell>
          <cell r="O39">
            <v>59711.663999999997</v>
          </cell>
          <cell r="P39">
            <v>43754.448000000004</v>
          </cell>
        </row>
        <row r="40">
          <cell r="A40" t="str">
            <v>c4.2xlarge</v>
          </cell>
          <cell r="B40">
            <v>44000</v>
          </cell>
          <cell r="C40">
            <v>26400</v>
          </cell>
          <cell r="D40">
            <v>60</v>
          </cell>
          <cell r="E40">
            <v>60.273972602739725</v>
          </cell>
          <cell r="F40">
            <v>10000</v>
          </cell>
          <cell r="G40">
            <v>0.33105355503903056</v>
          </cell>
          <cell r="H40">
            <v>0.2156538943720793</v>
          </cell>
          <cell r="I40">
            <v>44000</v>
          </cell>
          <cell r="J40">
            <v>43800</v>
          </cell>
          <cell r="K40">
            <v>70021.599999999991</v>
          </cell>
          <cell r="L40">
            <v>0.38481272447408932</v>
          </cell>
          <cell r="M40">
            <v>40471.200000000004</v>
          </cell>
          <cell r="N40">
            <v>0.51975051975051967</v>
          </cell>
          <cell r="O40">
            <v>119423.32799999999</v>
          </cell>
          <cell r="P40">
            <v>87508.896000000008</v>
          </cell>
        </row>
        <row r="41">
          <cell r="A41" t="str">
            <v>c4.4xlarge</v>
          </cell>
          <cell r="B41">
            <v>55000</v>
          </cell>
          <cell r="C41">
            <v>33000</v>
          </cell>
          <cell r="D41">
            <v>75</v>
          </cell>
          <cell r="E41">
            <v>75.342465753424662</v>
          </cell>
          <cell r="F41">
            <v>10000</v>
          </cell>
          <cell r="G41">
            <v>0.27250602307947236</v>
          </cell>
          <cell r="H41">
            <v>0.18563949404867353</v>
          </cell>
          <cell r="I41">
            <v>55000</v>
          </cell>
          <cell r="J41">
            <v>54750</v>
          </cell>
          <cell r="K41">
            <v>140043.19999999998</v>
          </cell>
          <cell r="L41">
            <v>0.2810673062509369</v>
          </cell>
          <cell r="M41">
            <v>80942.400000000009</v>
          </cell>
          <cell r="N41">
            <v>0.40348612007746926</v>
          </cell>
          <cell r="O41">
            <v>205996.65599999999</v>
          </cell>
          <cell r="P41">
            <v>142167.79200000002</v>
          </cell>
        </row>
        <row r="42">
          <cell r="A42" t="str">
            <v>c4.8xlarge</v>
          </cell>
          <cell r="B42">
            <v>55000</v>
          </cell>
          <cell r="C42">
            <v>33000</v>
          </cell>
          <cell r="D42">
            <v>75</v>
          </cell>
          <cell r="E42">
            <v>75.342465753424662</v>
          </cell>
          <cell r="F42">
            <v>10000</v>
          </cell>
          <cell r="G42">
            <v>0.18366268851546516</v>
          </cell>
          <cell r="H42">
            <v>0.13256183812021474</v>
          </cell>
          <cell r="I42">
            <v>55000</v>
          </cell>
          <cell r="J42">
            <v>54750</v>
          </cell>
          <cell r="K42">
            <v>294861.59999999998</v>
          </cell>
          <cell r="L42">
            <v>0.15660235529942371</v>
          </cell>
          <cell r="M42">
            <v>161884.80000000002</v>
          </cell>
          <cell r="N42">
            <v>0.25272947836635662</v>
          </cell>
          <cell r="O42">
            <v>373200.52799999999</v>
          </cell>
          <cell r="P42">
            <v>229585.58400000003</v>
          </cell>
        </row>
        <row r="43">
          <cell r="A43" t="str">
            <v>c5.large</v>
          </cell>
          <cell r="B43">
            <v>11000</v>
          </cell>
          <cell r="C43">
            <v>6600</v>
          </cell>
          <cell r="D43">
            <v>15</v>
          </cell>
          <cell r="E43">
            <v>15.068493150684931</v>
          </cell>
          <cell r="F43">
            <v>5000</v>
          </cell>
          <cell r="G43">
            <v>0.25756799578286932</v>
          </cell>
          <cell r="H43">
            <v>0.12064577210668623</v>
          </cell>
          <cell r="I43">
            <v>11000</v>
          </cell>
          <cell r="J43">
            <v>10950</v>
          </cell>
          <cell r="K43">
            <v>15979.7</v>
          </cell>
          <cell r="L43">
            <v>0.40661425860666844</v>
          </cell>
          <cell r="M43">
            <v>8592.1</v>
          </cell>
          <cell r="N43">
            <v>0.56032872618602914</v>
          </cell>
          <cell r="O43">
            <v>28208.076000000001</v>
          </cell>
          <cell r="P43">
            <v>20229.468000000001</v>
          </cell>
        </row>
        <row r="44">
          <cell r="A44" t="str">
            <v>c5.xlarge</v>
          </cell>
          <cell r="B44">
            <v>22000</v>
          </cell>
          <cell r="C44">
            <v>13200</v>
          </cell>
          <cell r="D44">
            <v>30</v>
          </cell>
          <cell r="E44">
            <v>30.136986301369863</v>
          </cell>
          <cell r="F44">
            <v>10000</v>
          </cell>
          <cell r="G44">
            <v>0.25756799578286932</v>
          </cell>
          <cell r="H44">
            <v>0.12064577210668623</v>
          </cell>
          <cell r="I44">
            <v>22000</v>
          </cell>
          <cell r="J44">
            <v>21900</v>
          </cell>
          <cell r="K44">
            <v>31959.4</v>
          </cell>
          <cell r="L44">
            <v>0.40661425860666844</v>
          </cell>
          <cell r="M44">
            <v>17184.2</v>
          </cell>
          <cell r="N44">
            <v>0.56032872618602914</v>
          </cell>
          <cell r="O44">
            <v>56416.152000000002</v>
          </cell>
          <cell r="P44">
            <v>40458.936000000002</v>
          </cell>
        </row>
        <row r="45">
          <cell r="A45" t="str">
            <v>c5.2xlarge</v>
          </cell>
          <cell r="B45">
            <v>44000</v>
          </cell>
          <cell r="C45">
            <v>26400</v>
          </cell>
          <cell r="D45">
            <v>60</v>
          </cell>
          <cell r="E45">
            <v>60.273972602739725</v>
          </cell>
          <cell r="F45">
            <v>10000</v>
          </cell>
          <cell r="G45">
            <v>0.34603827946389554</v>
          </cell>
          <cell r="H45">
            <v>0.22543209268006356</v>
          </cell>
          <cell r="I45">
            <v>44000</v>
          </cell>
          <cell r="J45">
            <v>43800</v>
          </cell>
          <cell r="K45">
            <v>63918.8</v>
          </cell>
          <cell r="L45">
            <v>0.40661425860666844</v>
          </cell>
          <cell r="M45">
            <v>34368.400000000001</v>
          </cell>
          <cell r="N45">
            <v>0.56032872618602914</v>
          </cell>
          <cell r="O45">
            <v>112832.304</v>
          </cell>
          <cell r="P45">
            <v>80917.872000000003</v>
          </cell>
        </row>
        <row r="46">
          <cell r="A46" t="str">
            <v>c5.4xlarge</v>
          </cell>
          <cell r="B46">
            <v>55000</v>
          </cell>
          <cell r="C46">
            <v>33000</v>
          </cell>
          <cell r="D46">
            <v>75</v>
          </cell>
          <cell r="E46">
            <v>75.342465753424662</v>
          </cell>
          <cell r="F46">
            <v>10000</v>
          </cell>
          <cell r="G46">
            <v>0.28605454190754631</v>
          </cell>
          <cell r="H46">
            <v>0.1942366009455328</v>
          </cell>
          <cell r="I46">
            <v>55000</v>
          </cell>
          <cell r="J46">
            <v>54750</v>
          </cell>
          <cell r="K46">
            <v>127837.6</v>
          </cell>
          <cell r="L46">
            <v>0.29985606908683832</v>
          </cell>
          <cell r="M46">
            <v>68736.800000000003</v>
          </cell>
          <cell r="N46">
            <v>0.44336722629463227</v>
          </cell>
          <cell r="O46">
            <v>192814.60800000001</v>
          </cell>
          <cell r="P46">
            <v>128985.74400000001</v>
          </cell>
        </row>
        <row r="47">
          <cell r="A47" t="str">
            <v>c5.9xlarge</v>
          </cell>
          <cell r="B47">
            <v>55000</v>
          </cell>
          <cell r="C47">
            <v>33000</v>
          </cell>
          <cell r="D47">
            <v>75</v>
          </cell>
          <cell r="E47">
            <v>75.342465753424662</v>
          </cell>
          <cell r="F47">
            <v>10000</v>
          </cell>
          <cell r="G47">
            <v>0.18600199524474761</v>
          </cell>
          <cell r="H47">
            <v>0.13389026096228362</v>
          </cell>
          <cell r="I47">
            <v>55000</v>
          </cell>
          <cell r="J47">
            <v>54750</v>
          </cell>
          <cell r="K47">
            <v>287634.59999999998</v>
          </cell>
          <cell r="L47">
            <v>0.15990789305360115</v>
          </cell>
          <cell r="M47">
            <v>154657.79999999999</v>
          </cell>
          <cell r="N47">
            <v>0.2614515791675382</v>
          </cell>
          <cell r="O47">
            <v>365395.36800000002</v>
          </cell>
          <cell r="P47">
            <v>221780.424</v>
          </cell>
        </row>
        <row r="48">
          <cell r="A48" t="str">
            <v>c5.18xlarge</v>
          </cell>
          <cell r="B48">
            <v>55000</v>
          </cell>
          <cell r="C48">
            <v>33000</v>
          </cell>
          <cell r="D48">
            <v>75</v>
          </cell>
          <cell r="E48">
            <v>75.342465753424662</v>
          </cell>
          <cell r="F48">
            <v>10000</v>
          </cell>
          <cell r="G48">
            <v>0.13458935803018302</v>
          </cell>
          <cell r="H48">
            <v>0.1054906209156536</v>
          </cell>
          <cell r="I48">
            <v>55000</v>
          </cell>
          <cell r="J48">
            <v>54750</v>
          </cell>
          <cell r="K48">
            <v>575269.19999999995</v>
          </cell>
          <cell r="L48">
            <v>8.6902113459399341E-2</v>
          </cell>
          <cell r="M48">
            <v>309315.59999999998</v>
          </cell>
          <cell r="N48">
            <v>0.15038498556304139</v>
          </cell>
          <cell r="O48">
            <v>676040.73600000003</v>
          </cell>
          <cell r="P48">
            <v>388810.848</v>
          </cell>
        </row>
        <row r="49">
          <cell r="A49" t="str">
            <v>r3.large</v>
          </cell>
          <cell r="B49">
            <v>22000</v>
          </cell>
          <cell r="C49">
            <v>13200</v>
          </cell>
          <cell r="D49">
            <v>30</v>
          </cell>
          <cell r="E49">
            <v>30.136986301369863</v>
          </cell>
          <cell r="F49">
            <v>10000</v>
          </cell>
          <cell r="G49">
            <v>0.29004606682605405</v>
          </cell>
          <cell r="H49">
            <v>0.13073855349183522</v>
          </cell>
          <cell r="I49">
            <v>22000</v>
          </cell>
          <cell r="J49">
            <v>21900</v>
          </cell>
          <cell r="K49">
            <v>24090</v>
          </cell>
          <cell r="L49">
            <v>0.47619047619047616</v>
          </cell>
          <cell r="M49">
            <v>16060</v>
          </cell>
          <cell r="N49">
            <v>0.57692307692307687</v>
          </cell>
          <cell r="O49">
            <v>47917.2</v>
          </cell>
          <cell r="P49">
            <v>39244.800000000003</v>
          </cell>
        </row>
        <row r="50">
          <cell r="A50" t="str">
            <v>r3.xlarge</v>
          </cell>
          <cell r="B50">
            <v>33000</v>
          </cell>
          <cell r="C50">
            <v>19800</v>
          </cell>
          <cell r="D50">
            <v>45</v>
          </cell>
          <cell r="E50">
            <v>45.205479452054796</v>
          </cell>
          <cell r="F50">
            <v>10000</v>
          </cell>
          <cell r="G50">
            <v>0.31605309602584064</v>
          </cell>
          <cell r="H50">
            <v>0.1902218547120606</v>
          </cell>
          <cell r="I50">
            <v>33000</v>
          </cell>
          <cell r="J50">
            <v>32850</v>
          </cell>
          <cell r="K50">
            <v>48099.7</v>
          </cell>
          <cell r="L50">
            <v>0.40580755703850663</v>
          </cell>
          <cell r="M50">
            <v>32039.700000000004</v>
          </cell>
          <cell r="N50">
            <v>0.50624367195410058</v>
          </cell>
          <cell r="O50">
            <v>84797.676000000007</v>
          </cell>
          <cell r="P50">
            <v>67452.876000000004</v>
          </cell>
        </row>
        <row r="51">
          <cell r="A51" t="str">
            <v>r3.2xlarge</v>
          </cell>
          <cell r="B51">
            <v>44000</v>
          </cell>
          <cell r="C51">
            <v>26400</v>
          </cell>
          <cell r="D51">
            <v>60</v>
          </cell>
          <cell r="E51">
            <v>60.273972602739725</v>
          </cell>
          <cell r="F51">
            <v>10000</v>
          </cell>
          <cell r="G51">
            <v>0.28452021503490132</v>
          </cell>
          <cell r="H51">
            <v>0.18650482118783929</v>
          </cell>
          <cell r="I51">
            <v>44000</v>
          </cell>
          <cell r="J51">
            <v>43800</v>
          </cell>
          <cell r="K51">
            <v>94513.1</v>
          </cell>
          <cell r="L51">
            <v>0.31667282419380377</v>
          </cell>
          <cell r="M51">
            <v>64079.400000000009</v>
          </cell>
          <cell r="N51">
            <v>0.4060089321965083</v>
          </cell>
          <cell r="O51">
            <v>145874.14800000002</v>
          </cell>
          <cell r="P51">
            <v>113005.75200000001</v>
          </cell>
        </row>
        <row r="52">
          <cell r="A52" t="str">
            <v>r3.4xlarge</v>
          </cell>
          <cell r="B52">
            <v>55000</v>
          </cell>
          <cell r="C52">
            <v>33000</v>
          </cell>
          <cell r="D52">
            <v>75</v>
          </cell>
          <cell r="E52">
            <v>75.342465753424662</v>
          </cell>
          <cell r="F52">
            <v>10000</v>
          </cell>
          <cell r="G52">
            <v>0.23623155816832381</v>
          </cell>
          <cell r="H52">
            <v>0.16329715926583457</v>
          </cell>
          <cell r="I52">
            <v>55000</v>
          </cell>
          <cell r="J52">
            <v>54750</v>
          </cell>
          <cell r="K52">
            <v>182762.8</v>
          </cell>
          <cell r="L52">
            <v>0.23051389230390953</v>
          </cell>
          <cell r="M52">
            <v>128158.80000000002</v>
          </cell>
          <cell r="N52">
            <v>0.29932950191570878</v>
          </cell>
          <cell r="O52">
            <v>252133.82399999999</v>
          </cell>
          <cell r="P52">
            <v>193161.50400000002</v>
          </cell>
        </row>
        <row r="53">
          <cell r="A53" t="str">
            <v>r3.8xlarge</v>
          </cell>
          <cell r="B53">
            <v>55000</v>
          </cell>
          <cell r="C53">
            <v>33000</v>
          </cell>
          <cell r="D53">
            <v>75</v>
          </cell>
          <cell r="E53">
            <v>75.342465753424662</v>
          </cell>
          <cell r="F53">
            <v>10000</v>
          </cell>
          <cell r="G53">
            <v>0.17069387620196563</v>
          </cell>
          <cell r="H53">
            <v>0.12526115788503825</v>
          </cell>
          <cell r="I53">
            <v>55000</v>
          </cell>
          <cell r="J53">
            <v>54750</v>
          </cell>
          <cell r="K53">
            <v>341275</v>
          </cell>
          <cell r="L53">
            <v>0.13824884792626729</v>
          </cell>
          <cell r="M53">
            <v>256317.60000000003</v>
          </cell>
          <cell r="N53">
            <v>0.1760067586595325</v>
          </cell>
          <cell r="O53">
            <v>423327</v>
          </cell>
          <cell r="P53">
            <v>331573.00800000003</v>
          </cell>
        </row>
        <row r="54">
          <cell r="A54" t="str">
            <v>r4.large</v>
          </cell>
          <cell r="B54">
            <v>22000</v>
          </cell>
          <cell r="C54">
            <v>13200</v>
          </cell>
          <cell r="D54">
            <v>30</v>
          </cell>
          <cell r="E54">
            <v>30.136986301369863</v>
          </cell>
          <cell r="F54">
            <v>10000</v>
          </cell>
          <cell r="G54">
            <v>0.31054656075023446</v>
          </cell>
          <cell r="H54">
            <v>0.13746751910057176</v>
          </cell>
          <cell r="I54">
            <v>22000</v>
          </cell>
          <cell r="J54">
            <v>21900</v>
          </cell>
          <cell r="K54">
            <v>20235.600000000002</v>
          </cell>
          <cell r="L54">
            <v>0.51975051975051967</v>
          </cell>
          <cell r="M54">
            <v>12848</v>
          </cell>
          <cell r="N54">
            <v>0.63025210084033612</v>
          </cell>
          <cell r="O54">
            <v>43754.448000000004</v>
          </cell>
          <cell r="P54">
            <v>35775.839999999997</v>
          </cell>
        </row>
        <row r="55">
          <cell r="A55" t="str">
            <v>r4.xlarge</v>
          </cell>
          <cell r="B55">
            <v>33000</v>
          </cell>
          <cell r="C55">
            <v>19800</v>
          </cell>
          <cell r="D55">
            <v>45</v>
          </cell>
          <cell r="E55">
            <v>45.205479452054796</v>
          </cell>
          <cell r="F55">
            <v>10000</v>
          </cell>
          <cell r="G55">
            <v>0.34204241448084455</v>
          </cell>
          <cell r="H55">
            <v>0.20528928734645299</v>
          </cell>
          <cell r="I55">
            <v>33000</v>
          </cell>
          <cell r="J55">
            <v>32850</v>
          </cell>
          <cell r="K55">
            <v>40471.200000000004</v>
          </cell>
          <cell r="L55">
            <v>0.4480286738351254</v>
          </cell>
          <cell r="M55">
            <v>25696</v>
          </cell>
          <cell r="N55">
            <v>0.56109725685785539</v>
          </cell>
          <cell r="O55">
            <v>76558.896000000008</v>
          </cell>
          <cell r="P55">
            <v>60601.68</v>
          </cell>
        </row>
        <row r="56">
          <cell r="A56" t="str">
            <v>r4.2xlarge</v>
          </cell>
          <cell r="B56">
            <v>44000</v>
          </cell>
          <cell r="C56">
            <v>26400</v>
          </cell>
          <cell r="D56">
            <v>60</v>
          </cell>
          <cell r="E56">
            <v>60.273972602739725</v>
          </cell>
          <cell r="F56">
            <v>10000</v>
          </cell>
          <cell r="G56">
            <v>0.30799019968316005</v>
          </cell>
          <cell r="H56">
            <v>0.20098256694348804</v>
          </cell>
          <cell r="I56">
            <v>44000</v>
          </cell>
          <cell r="J56">
            <v>43800</v>
          </cell>
          <cell r="K56">
            <v>80942.400000000009</v>
          </cell>
          <cell r="L56">
            <v>0.35112359550561795</v>
          </cell>
          <cell r="M56">
            <v>51392</v>
          </cell>
          <cell r="N56">
            <v>0.46012269938650308</v>
          </cell>
          <cell r="O56">
            <v>131217.79200000002</v>
          </cell>
          <cell r="P56">
            <v>99303.360000000001</v>
          </cell>
        </row>
        <row r="57">
          <cell r="A57" t="str">
            <v>r4.4xlarge</v>
          </cell>
          <cell r="B57">
            <v>55000</v>
          </cell>
          <cell r="C57">
            <v>33000</v>
          </cell>
          <cell r="D57">
            <v>75</v>
          </cell>
          <cell r="E57">
            <v>75.342465753424662</v>
          </cell>
          <cell r="F57">
            <v>10000</v>
          </cell>
          <cell r="G57">
            <v>0.25214017338585826</v>
          </cell>
          <cell r="H57">
            <v>0.1729770393889816</v>
          </cell>
          <cell r="I57">
            <v>55000</v>
          </cell>
          <cell r="J57">
            <v>54750</v>
          </cell>
          <cell r="K57">
            <v>161884.80000000002</v>
          </cell>
          <cell r="L57">
            <v>0.25272947836635662</v>
          </cell>
          <cell r="M57">
            <v>102784</v>
          </cell>
          <cell r="N57">
            <v>0.34754402224281744</v>
          </cell>
          <cell r="O57">
            <v>229585.58400000003</v>
          </cell>
          <cell r="P57">
            <v>165756.72</v>
          </cell>
        </row>
        <row r="58">
          <cell r="A58" t="str">
            <v>r4.8xlarge</v>
          </cell>
          <cell r="B58">
            <v>55000</v>
          </cell>
          <cell r="C58">
            <v>33000</v>
          </cell>
          <cell r="D58">
            <v>75</v>
          </cell>
          <cell r="E58">
            <v>75.342465753424662</v>
          </cell>
          <cell r="F58">
            <v>10000</v>
          </cell>
          <cell r="G58">
            <v>0.17520785666647737</v>
          </cell>
          <cell r="H58">
            <v>0.12779005080414105</v>
          </cell>
          <cell r="I58">
            <v>55000</v>
          </cell>
          <cell r="J58">
            <v>54750</v>
          </cell>
          <cell r="K58">
            <v>323769.60000000003</v>
          </cell>
          <cell r="L58">
            <v>0.14464244387873176</v>
          </cell>
          <cell r="M58">
            <v>205568</v>
          </cell>
          <cell r="N58">
            <v>0.21031968592260236</v>
          </cell>
          <cell r="O58">
            <v>404421.16800000006</v>
          </cell>
          <cell r="P58">
            <v>276763.44</v>
          </cell>
        </row>
        <row r="59">
          <cell r="A59" t="str">
            <v>r4.16xlarge</v>
          </cell>
          <cell r="B59">
            <v>55000</v>
          </cell>
          <cell r="C59">
            <v>33000</v>
          </cell>
          <cell r="D59">
            <v>75</v>
          </cell>
          <cell r="E59">
            <v>75.342465753424662</v>
          </cell>
          <cell r="F59">
            <v>10000</v>
          </cell>
          <cell r="G59">
            <v>0.12832785776456804</v>
          </cell>
          <cell r="H59">
            <v>0.10214230739215381</v>
          </cell>
          <cell r="I59">
            <v>55000</v>
          </cell>
          <cell r="J59">
            <v>54750</v>
          </cell>
          <cell r="K59">
            <v>647539.20000000007</v>
          </cell>
          <cell r="L59">
            <v>7.7959336410128463E-2</v>
          </cell>
          <cell r="M59">
            <v>411136</v>
          </cell>
          <cell r="N59">
            <v>0.11751801942964588</v>
          </cell>
          <cell r="O59">
            <v>754092.33600000013</v>
          </cell>
          <cell r="P59">
            <v>498776.88</v>
          </cell>
        </row>
        <row r="60">
          <cell r="A60" t="str">
            <v>r5.large</v>
          </cell>
          <cell r="B60">
            <v>22000</v>
          </cell>
          <cell r="C60">
            <v>13200</v>
          </cell>
          <cell r="D60">
            <v>30</v>
          </cell>
          <cell r="E60">
            <v>30.136986301369863</v>
          </cell>
          <cell r="F60">
            <v>10000</v>
          </cell>
          <cell r="G60">
            <v>0.31434777080311288</v>
          </cell>
          <cell r="H60">
            <v>0.13874752565841583</v>
          </cell>
          <cell r="I60">
            <v>22000</v>
          </cell>
          <cell r="J60">
            <v>21900</v>
          </cell>
          <cell r="K60">
            <v>19593.2</v>
          </cell>
          <cell r="L60">
            <v>0.52779732582688255</v>
          </cell>
          <cell r="M60">
            <v>12205.599999999999</v>
          </cell>
          <cell r="N60">
            <v>0.64212328767123295</v>
          </cell>
          <cell r="O60">
            <v>43060.656000000003</v>
          </cell>
          <cell r="P60">
            <v>35082.047999999995</v>
          </cell>
        </row>
        <row r="61">
          <cell r="A61" t="str">
            <v>r5.xlarge</v>
          </cell>
          <cell r="B61">
            <v>33000</v>
          </cell>
          <cell r="C61">
            <v>19800</v>
          </cell>
          <cell r="D61">
            <v>45</v>
          </cell>
          <cell r="E61">
            <v>45.205479452054796</v>
          </cell>
          <cell r="F61">
            <v>10000</v>
          </cell>
          <cell r="G61">
            <v>0.34697897986694654</v>
          </cell>
          <cell r="H61">
            <v>0.20822019985669329</v>
          </cell>
          <cell r="I61">
            <v>33000</v>
          </cell>
          <cell r="J61">
            <v>32850</v>
          </cell>
          <cell r="K61">
            <v>39186.400000000001</v>
          </cell>
          <cell r="L61">
            <v>0.4560194568301581</v>
          </cell>
          <cell r="M61">
            <v>24411.199999999997</v>
          </cell>
          <cell r="N61">
            <v>0.57368689444161147</v>
          </cell>
          <cell r="O61">
            <v>75171.312000000005</v>
          </cell>
          <cell r="P61">
            <v>59214.095999999998</v>
          </cell>
        </row>
        <row r="62">
          <cell r="A62" t="str">
            <v>r5.2xlarge</v>
          </cell>
          <cell r="B62">
            <v>44000</v>
          </cell>
          <cell r="C62">
            <v>26400</v>
          </cell>
          <cell r="D62">
            <v>60</v>
          </cell>
          <cell r="E62">
            <v>60.273972602739725</v>
          </cell>
          <cell r="F62">
            <v>10000</v>
          </cell>
          <cell r="G62">
            <v>0.31303640075003442</v>
          </cell>
          <cell r="H62">
            <v>0.20415425341533713</v>
          </cell>
          <cell r="I62">
            <v>44000</v>
          </cell>
          <cell r="J62">
            <v>43800</v>
          </cell>
          <cell r="K62">
            <v>78372.800000000003</v>
          </cell>
          <cell r="L62">
            <v>0.35850860420650094</v>
          </cell>
          <cell r="M62">
            <v>48822.399999999994</v>
          </cell>
          <cell r="N62">
            <v>0.4728877679697352</v>
          </cell>
          <cell r="O62">
            <v>128442.62400000001</v>
          </cell>
          <cell r="P62">
            <v>96528.191999999995</v>
          </cell>
        </row>
        <row r="63">
          <cell r="A63" t="str">
            <v>r5.4xlarge</v>
          </cell>
          <cell r="B63">
            <v>55000</v>
          </cell>
          <cell r="C63">
            <v>33000</v>
          </cell>
          <cell r="D63">
            <v>75</v>
          </cell>
          <cell r="E63">
            <v>75.342465753424662</v>
          </cell>
          <cell r="F63">
            <v>10000</v>
          </cell>
          <cell r="G63">
            <v>0.25654673462964445</v>
          </cell>
          <cell r="H63">
            <v>0.17569075526456579</v>
          </cell>
          <cell r="I63">
            <v>55000</v>
          </cell>
          <cell r="J63">
            <v>54750</v>
          </cell>
          <cell r="K63">
            <v>156745.60000000001</v>
          </cell>
          <cell r="L63">
            <v>0.25887063371531133</v>
          </cell>
          <cell r="M63">
            <v>97644.799999999988</v>
          </cell>
          <cell r="N63">
            <v>0.35926422686338383</v>
          </cell>
          <cell r="O63">
            <v>224035.24800000002</v>
          </cell>
          <cell r="P63">
            <v>160206.38399999999</v>
          </cell>
        </row>
        <row r="64">
          <cell r="A64" t="str">
            <v>r5.8xlarge</v>
          </cell>
          <cell r="B64">
            <v>55000</v>
          </cell>
          <cell r="C64">
            <v>33000</v>
          </cell>
          <cell r="D64">
            <v>75</v>
          </cell>
          <cell r="E64">
            <v>75.342465753424662</v>
          </cell>
          <cell r="F64">
            <v>10000</v>
          </cell>
          <cell r="G64" t="e">
            <v>#N/A</v>
          </cell>
          <cell r="H64" t="e">
            <v>#N/A</v>
          </cell>
          <cell r="I64">
            <v>55000</v>
          </cell>
          <cell r="J64">
            <v>54750</v>
          </cell>
          <cell r="K64" t="e">
            <v>#N/A</v>
          </cell>
          <cell r="L64" t="e">
            <v>#N/A</v>
          </cell>
          <cell r="M64" t="e">
            <v>#N/A</v>
          </cell>
          <cell r="N64" t="e">
            <v>#N/A</v>
          </cell>
          <cell r="O64" t="e">
            <v>#N/A</v>
          </cell>
          <cell r="P64" t="e">
            <v>#N/A</v>
          </cell>
        </row>
        <row r="65">
          <cell r="A65" t="str">
            <v>r5.16xlarge</v>
          </cell>
          <cell r="B65">
            <v>55000</v>
          </cell>
          <cell r="C65">
            <v>33000</v>
          </cell>
          <cell r="D65">
            <v>75</v>
          </cell>
          <cell r="E65">
            <v>75.342465753424662</v>
          </cell>
          <cell r="F65">
            <v>10000</v>
          </cell>
          <cell r="G65" t="e">
            <v>#N/A</v>
          </cell>
          <cell r="H65" t="e">
            <v>#N/A</v>
          </cell>
          <cell r="I65">
            <v>55000</v>
          </cell>
          <cell r="J65">
            <v>54750</v>
          </cell>
          <cell r="K65" t="e">
            <v>#N/A</v>
          </cell>
          <cell r="L65" t="e">
            <v>#N/A</v>
          </cell>
          <cell r="M65" t="e">
            <v>#N/A</v>
          </cell>
          <cell r="N65" t="e">
            <v>#N/A</v>
          </cell>
          <cell r="O65" t="e">
            <v>#N/A</v>
          </cell>
          <cell r="P65" t="e">
            <v>#N/A</v>
          </cell>
        </row>
        <row r="66">
          <cell r="A66" t="str">
            <v>m1.small</v>
          </cell>
          <cell r="B66">
            <v>6600</v>
          </cell>
          <cell r="C66">
            <v>3960</v>
          </cell>
          <cell r="D66">
            <v>9</v>
          </cell>
          <cell r="E66">
            <v>9.0410958904109595</v>
          </cell>
          <cell r="F66">
            <v>3000</v>
          </cell>
          <cell r="G66">
            <v>0.29267821046406783</v>
          </cell>
          <cell r="H66">
            <v>0.13158643002862735</v>
          </cell>
          <cell r="I66">
            <v>6600</v>
          </cell>
          <cell r="J66">
            <v>6570</v>
          </cell>
          <cell r="K66">
            <v>7066.4</v>
          </cell>
          <cell r="L66">
            <v>0.48179871520342615</v>
          </cell>
          <cell r="M66">
            <v>4898.3</v>
          </cell>
          <cell r="N66">
            <v>0.57288351368555068</v>
          </cell>
          <cell r="O66">
            <v>14201.712</v>
          </cell>
          <cell r="P66">
            <v>11860.164000000001</v>
          </cell>
        </row>
        <row r="67">
          <cell r="A67" t="str">
            <v>m1.medium</v>
          </cell>
          <cell r="B67">
            <v>11000</v>
          </cell>
          <cell r="C67">
            <v>6600</v>
          </cell>
          <cell r="D67">
            <v>15</v>
          </cell>
          <cell r="E67">
            <v>15.068493150684931</v>
          </cell>
          <cell r="F67">
            <v>5000</v>
          </cell>
          <cell r="G67">
            <v>0.27085419026868462</v>
          </cell>
          <cell r="H67">
            <v>0.12469382894365905</v>
          </cell>
          <cell r="I67">
            <v>11000</v>
          </cell>
          <cell r="J67">
            <v>10950</v>
          </cell>
          <cell r="K67">
            <v>14213.099999999999</v>
          </cell>
          <cell r="L67">
            <v>0.43516100957354226</v>
          </cell>
          <cell r="M67">
            <v>9796.6</v>
          </cell>
          <cell r="N67">
            <v>0.52779732582688255</v>
          </cell>
          <cell r="O67">
            <v>26300.148000000001</v>
          </cell>
          <cell r="P67">
            <v>21530.328000000001</v>
          </cell>
        </row>
        <row r="68">
          <cell r="A68" t="str">
            <v>m1.large</v>
          </cell>
          <cell r="B68">
            <v>22000</v>
          </cell>
          <cell r="C68">
            <v>13200</v>
          </cell>
          <cell r="D68">
            <v>30</v>
          </cell>
          <cell r="E68">
            <v>30.136986301369863</v>
          </cell>
          <cell r="F68">
            <v>10000</v>
          </cell>
          <cell r="G68">
            <v>0.27117854685859383</v>
          </cell>
          <cell r="H68">
            <v>0.12479402501124538</v>
          </cell>
          <cell r="I68">
            <v>22000</v>
          </cell>
          <cell r="J68">
            <v>21900</v>
          </cell>
          <cell r="K68">
            <v>28345.9</v>
          </cell>
          <cell r="L68">
            <v>0.43585645793985178</v>
          </cell>
          <cell r="M68">
            <v>19512.899999999998</v>
          </cell>
          <cell r="N68">
            <v>0.52882072977260719</v>
          </cell>
          <cell r="O68">
            <v>52513.572</v>
          </cell>
          <cell r="P68">
            <v>42973.932000000001</v>
          </cell>
        </row>
        <row r="69">
          <cell r="A69" t="str">
            <v>m1.xlarge</v>
          </cell>
          <cell r="B69">
            <v>33000</v>
          </cell>
          <cell r="C69">
            <v>19800</v>
          </cell>
          <cell r="D69">
            <v>45</v>
          </cell>
          <cell r="E69">
            <v>45.205479452054796</v>
          </cell>
          <cell r="F69">
            <v>10000</v>
          </cell>
          <cell r="G69">
            <v>0.29222305623526063</v>
          </cell>
          <cell r="H69">
            <v>0.17692026760809934</v>
          </cell>
          <cell r="I69">
            <v>33000</v>
          </cell>
          <cell r="J69">
            <v>32850</v>
          </cell>
          <cell r="K69">
            <v>56691.8</v>
          </cell>
          <cell r="L69">
            <v>0.36686776455242132</v>
          </cell>
          <cell r="M69">
            <v>39025.799999999996</v>
          </cell>
          <cell r="N69">
            <v>0.45703839122486295</v>
          </cell>
          <cell r="O69">
            <v>94077.144</v>
          </cell>
          <cell r="P69">
            <v>74997.864000000001</v>
          </cell>
        </row>
        <row r="70">
          <cell r="A70" t="str">
            <v>t1.micro</v>
          </cell>
          <cell r="B70">
            <v>2200</v>
          </cell>
          <cell r="C70">
            <v>1320</v>
          </cell>
          <cell r="D70">
            <v>3</v>
          </cell>
          <cell r="E70">
            <v>3.0136986301369864</v>
          </cell>
          <cell r="F70">
            <v>1000</v>
          </cell>
          <cell r="G70">
            <v>0.27894550101029419</v>
          </cell>
          <cell r="H70">
            <v>0.12721323267076243</v>
          </cell>
          <cell r="I70">
            <v>2200</v>
          </cell>
          <cell r="J70">
            <v>2190</v>
          </cell>
          <cell r="K70">
            <v>2649.9</v>
          </cell>
          <cell r="L70">
            <v>0.45248868778280549</v>
          </cell>
          <cell r="M70">
            <v>2087.8000000000002</v>
          </cell>
          <cell r="N70">
            <v>0.51194539249146753</v>
          </cell>
          <cell r="O70">
            <v>5051.8919999999998</v>
          </cell>
          <cell r="P70">
            <v>4444.8240000000005</v>
          </cell>
        </row>
        <row r="71">
          <cell r="A71" t="str">
            <v>m2.xlarge</v>
          </cell>
          <cell r="B71">
            <v>22000</v>
          </cell>
          <cell r="C71">
            <v>13200</v>
          </cell>
          <cell r="D71">
            <v>30</v>
          </cell>
          <cell r="E71">
            <v>30.136986301369863</v>
          </cell>
          <cell r="F71">
            <v>10000</v>
          </cell>
          <cell r="G71">
            <v>0.27150397450081148</v>
          </cell>
          <cell r="H71">
            <v>0.12489461851903892</v>
          </cell>
          <cell r="I71">
            <v>22000</v>
          </cell>
          <cell r="J71">
            <v>21900</v>
          </cell>
          <cell r="K71">
            <v>28265.599999999999</v>
          </cell>
          <cell r="L71">
            <v>0.43655413271245636</v>
          </cell>
          <cell r="M71">
            <v>23046.1</v>
          </cell>
          <cell r="N71">
            <v>0.48725028422933248</v>
          </cell>
          <cell r="O71">
            <v>52426.847999999998</v>
          </cell>
          <cell r="P71">
            <v>46789.788</v>
          </cell>
        </row>
        <row r="72">
          <cell r="A72" t="str">
            <v>m2.2xlarge</v>
          </cell>
          <cell r="B72">
            <v>44000</v>
          </cell>
          <cell r="C72">
            <v>26400</v>
          </cell>
          <cell r="D72">
            <v>60</v>
          </cell>
          <cell r="E72">
            <v>60.273972602739725</v>
          </cell>
          <cell r="F72">
            <v>10000</v>
          </cell>
          <cell r="G72">
            <v>0.36645202672768468</v>
          </cell>
          <cell r="H72">
            <v>0.23907721713009825</v>
          </cell>
          <cell r="I72">
            <v>44000</v>
          </cell>
          <cell r="J72">
            <v>43800</v>
          </cell>
          <cell r="K72">
            <v>56611.5</v>
          </cell>
          <cell r="L72">
            <v>0.4362050163576881</v>
          </cell>
          <cell r="M72">
            <v>46172.499999999993</v>
          </cell>
          <cell r="N72">
            <v>0.48681541582150101</v>
          </cell>
          <cell r="O72">
            <v>104940.42000000001</v>
          </cell>
          <cell r="P72">
            <v>93666.299999999988</v>
          </cell>
        </row>
        <row r="73">
          <cell r="A73" t="str">
            <v>m2.4xlarge</v>
          </cell>
          <cell r="B73">
            <v>55000.000000000007</v>
          </cell>
          <cell r="C73">
            <v>33000</v>
          </cell>
          <cell r="D73">
            <v>75</v>
          </cell>
          <cell r="E73">
            <v>75.342465753424662</v>
          </cell>
          <cell r="F73">
            <v>10000</v>
          </cell>
          <cell r="G73">
            <v>0.30492770679561315</v>
          </cell>
          <cell r="H73">
            <v>0.20645071214194871</v>
          </cell>
          <cell r="I73">
            <v>55000.000000000007</v>
          </cell>
          <cell r="J73">
            <v>54750</v>
          </cell>
          <cell r="K73">
            <v>113223</v>
          </cell>
          <cell r="L73">
            <v>0.32594524119947849</v>
          </cell>
          <cell r="M73">
            <v>92344.999999999985</v>
          </cell>
          <cell r="N73">
            <v>0.37220843672456577</v>
          </cell>
          <cell r="O73">
            <v>177030.84000000003</v>
          </cell>
          <cell r="P73">
            <v>154482.59999999998</v>
          </cell>
        </row>
        <row r="74">
          <cell r="A74" t="str">
            <v>c1.medium</v>
          </cell>
          <cell r="B74">
            <v>11000</v>
          </cell>
          <cell r="C74">
            <v>6600</v>
          </cell>
          <cell r="D74">
            <v>15</v>
          </cell>
          <cell r="E74">
            <v>15.068493150684931</v>
          </cell>
          <cell r="F74">
            <v>5000</v>
          </cell>
          <cell r="G74">
            <v>0.22943639618787734</v>
          </cell>
          <cell r="H74">
            <v>0.1124215835613246</v>
          </cell>
          <cell r="I74">
            <v>11000</v>
          </cell>
          <cell r="J74">
            <v>10950</v>
          </cell>
          <cell r="K74">
            <v>20717.400000000001</v>
          </cell>
          <cell r="L74">
            <v>0.34578146611341631</v>
          </cell>
          <cell r="M74">
            <v>12687.4</v>
          </cell>
          <cell r="N74">
            <v>0.46324891908585542</v>
          </cell>
          <cell r="O74">
            <v>33324.792000000001</v>
          </cell>
          <cell r="P74">
            <v>24652.392</v>
          </cell>
        </row>
        <row r="75">
          <cell r="A75" t="str">
            <v>c1.xlarge</v>
          </cell>
          <cell r="B75">
            <v>44000</v>
          </cell>
          <cell r="C75">
            <v>26400</v>
          </cell>
          <cell r="D75">
            <v>60</v>
          </cell>
          <cell r="E75">
            <v>60.273972602739725</v>
          </cell>
          <cell r="F75">
            <v>10000</v>
          </cell>
          <cell r="G75">
            <v>0.30434323006417535</v>
          </cell>
          <cell r="H75">
            <v>0.19870347990763831</v>
          </cell>
          <cell r="I75">
            <v>44000</v>
          </cell>
          <cell r="J75">
            <v>43800</v>
          </cell>
          <cell r="K75">
            <v>82869.600000000006</v>
          </cell>
          <cell r="L75">
            <v>0.34578146611341631</v>
          </cell>
          <cell r="M75">
            <v>50749.599999999999</v>
          </cell>
          <cell r="N75">
            <v>0.46324891908585542</v>
          </cell>
          <cell r="O75">
            <v>133299.16800000001</v>
          </cell>
          <cell r="P75">
            <v>98609.567999999999</v>
          </cell>
        </row>
      </sheetData>
      <sheetData sheetId="17">
        <row r="1">
          <cell r="A1" t="str">
            <v>DISK(Magnetic) 東京</v>
          </cell>
          <cell r="B1">
            <v>0.08</v>
          </cell>
        </row>
        <row r="2">
          <cell r="A2" t="str">
            <v>DISK(SSD) 東京</v>
          </cell>
          <cell r="B2">
            <v>0.12</v>
          </cell>
        </row>
        <row r="3">
          <cell r="A3" t="str">
            <v>DISK(st1) 東京</v>
          </cell>
          <cell r="B3">
            <v>5.3999999999999999E-2</v>
          </cell>
        </row>
        <row r="4">
          <cell r="A4" t="str">
            <v>DISK(sc1) 東京</v>
          </cell>
          <cell r="B4">
            <v>0.03</v>
          </cell>
        </row>
        <row r="5">
          <cell r="A5" t="str">
            <v>BACKUP(SNAPSHOT) 東京</v>
          </cell>
          <cell r="B5">
            <v>0.05</v>
          </cell>
        </row>
        <row r="6">
          <cell r="A6" t="str">
            <v>DISK(Magnetic) 米国-バージニア</v>
          </cell>
          <cell r="B6">
            <v>0.05</v>
          </cell>
        </row>
        <row r="7">
          <cell r="A7" t="str">
            <v>DISK(SSD) バージニア</v>
          </cell>
          <cell r="B7">
            <v>0.1</v>
          </cell>
        </row>
        <row r="8">
          <cell r="A8" t="str">
            <v>DISK(st1) バージニア</v>
          </cell>
          <cell r="B8">
            <v>4.4999999999999998E-2</v>
          </cell>
        </row>
        <row r="9">
          <cell r="A9" t="str">
            <v>DISK(sc1) バージニア</v>
          </cell>
          <cell r="B9">
            <v>2.5000000000000001E-2</v>
          </cell>
        </row>
        <row r="10">
          <cell r="A10" t="str">
            <v>BACKUP(SNAPSHOT) 米国-バージニア</v>
          </cell>
          <cell r="B10">
            <v>0.05</v>
          </cell>
        </row>
        <row r="11">
          <cell r="A11" t="str">
            <v>DISK(Magnetic) シンガポール</v>
          </cell>
          <cell r="B11">
            <v>0.08</v>
          </cell>
        </row>
        <row r="12">
          <cell r="A12" t="str">
            <v>DISK(SSD) シンガポール</v>
          </cell>
          <cell r="B12">
            <v>0.12</v>
          </cell>
        </row>
        <row r="13">
          <cell r="A13" t="str">
            <v>DISK(st1) シンガポール</v>
          </cell>
          <cell r="B13">
            <v>5.3999999999999999E-2</v>
          </cell>
        </row>
        <row r="14">
          <cell r="A14" t="str">
            <v>DISK(sc1) シンガポール</v>
          </cell>
          <cell r="B14">
            <v>0.03</v>
          </cell>
        </row>
        <row r="15">
          <cell r="A15" t="str">
            <v>BACKUP(SNAPSHOT) シンガポール</v>
          </cell>
          <cell r="B15">
            <v>0.05</v>
          </cell>
        </row>
        <row r="16">
          <cell r="A16" t="str">
            <v xml:space="preserve"> </v>
          </cell>
        </row>
        <row r="17">
          <cell r="A17" t="str">
            <v xml:space="preserve"> </v>
          </cell>
        </row>
        <row r="18">
          <cell r="A18" t="str">
            <v xml:space="preserve"> </v>
          </cell>
        </row>
        <row r="19">
          <cell r="A19" t="str">
            <v xml:space="preserve"> </v>
          </cell>
        </row>
        <row r="20">
          <cell r="A20" t="str">
            <v xml:space="preserve"> </v>
          </cell>
        </row>
        <row r="21">
          <cell r="A21" t="str">
            <v xml:space="preserve"> </v>
          </cell>
        </row>
        <row r="22">
          <cell r="A22" t="str">
            <v xml:space="preserve"> </v>
          </cell>
        </row>
        <row r="23">
          <cell r="A23" t="str">
            <v xml:space="preserve"> </v>
          </cell>
        </row>
        <row r="24">
          <cell r="A24" t="str">
            <v xml:space="preserve"> </v>
          </cell>
        </row>
        <row r="25">
          <cell r="A25" t="str">
            <v xml:space="preserve"> </v>
          </cell>
        </row>
        <row r="26">
          <cell r="A26" t="str">
            <v xml:space="preserve"> </v>
          </cell>
        </row>
        <row r="27">
          <cell r="A27" t="str">
            <v xml:space="preserve"> </v>
          </cell>
        </row>
        <row r="28">
          <cell r="A28" t="str">
            <v xml:space="preserve"> </v>
          </cell>
        </row>
        <row r="29">
          <cell r="A29" t="str">
            <v xml:space="preserve"> </v>
          </cell>
        </row>
      </sheetData>
      <sheetData sheetId="18">
        <row r="3">
          <cell r="B3" t="str">
            <v>東京</v>
          </cell>
        </row>
        <row r="4">
          <cell r="B4" t="str">
            <v>バージニア</v>
          </cell>
        </row>
        <row r="5">
          <cell r="B5" t="str">
            <v>シンガポール</v>
          </cell>
        </row>
        <row r="21">
          <cell r="F21">
            <v>25.402799999999999</v>
          </cell>
        </row>
        <row r="29">
          <cell r="F29" t="e">
            <v>#N/A</v>
          </cell>
        </row>
        <row r="37">
          <cell r="F37" t="e">
            <v>#N/A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機器明細表"/>
      <sheetName val="正式見積･ｹｰｽ１"/>
    </sheetNames>
    <sheetDataSet>
      <sheetData sheetId="0"/>
      <sheetData sheetId="1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ernet0124"/>
    </sheetNames>
    <definedNames>
      <definedName name="bCancel_Click"/>
      <definedName name="bOk_Click"/>
    </defined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データ項目"/>
      <sheetName val="PR"/>
      <sheetName val="支払指図書データ（退職）(5.2.1.1)"/>
      <sheetName val="支払指図書データ（税引後）(5.2.1.2)"/>
      <sheetName val="支払指図書データ（困窮時）(5.2.1.3)"/>
      <sheetName val="支払指図書データ（一時払）(5.2.1.4)"/>
      <sheetName val="RO指図書データ（RO証明書）(5.2.1.5)"/>
      <sheetName val="RO指図書データ（RO取崩）(5.2.1.6)"/>
      <sheetName val="支払指図書データ（プラン外年金）(5.2.1.7)"/>
      <sheetName val="異動情報(5.2.1.11)"/>
      <sheetName val="RO移管払出適格証明請求情報(5.2.2)"/>
      <sheetName val="退職通知書情報(5.2.3.1)"/>
      <sheetName val="個人型受給者情報(5.2.3.2)"/>
      <sheetName val="売却情報(5.2.4.1)"/>
      <sheetName val="33260(3.2.2.3)"/>
      <sheetName val="33260(3.2.2.７)"/>
      <sheetName val="ローン内容登録情報（変更異動）(9.1.1)"/>
      <sheetName val="売却情報1(9.1.2)"/>
      <sheetName val="売却指図情報(9.1.2)"/>
      <sheetName val="実行ステータス情報(9.2.1)"/>
      <sheetName val="売却完了情報(9.2.1)"/>
      <sheetName val="売却完了情報(9.2.2)"/>
      <sheetName val="実行ステータス情報(9.2.3)"/>
      <sheetName val="一括返済額情報(9.3.1)"/>
      <sheetName val="入金予定額情報（一括時のみ）(9.3.3)"/>
      <sheetName val="売却時情報(9.3.5)"/>
      <sheetName val="33403(3.4)"/>
      <sheetName val="33518(3.5.4)"/>
      <sheetName val="33519(3.5.5)"/>
      <sheetName val="33602(3.6)"/>
      <sheetName val="24201(4.2.1)"/>
      <sheetName val="24235(4.2.2)"/>
      <sheetName val="24215(4.2.4)"/>
      <sheetName val="24322(4.3.4)"/>
      <sheetName val="24323(4.3.4)"/>
      <sheetName val="24404(4.4.2)"/>
      <sheetName val="24422(4.4.2)"/>
      <sheetName val="24409(4.4.3)"/>
      <sheetName val="24410(4.4.3)"/>
      <sheetName val="24411(4.4.4)"/>
      <sheetName val="24424(4.4.4)"/>
      <sheetName val="24502(4.5)"/>
      <sheetName val="保有数量(5.2.3.3)"/>
      <sheetName val="売却商品(5.2.4.4)"/>
      <sheetName val="資産処分明細情報(5.3)"/>
      <sheetName val="支払完了ｽﾃｰﾀｽ(5.3.2)"/>
      <sheetName val="加入者別商品売却情報(6.1.1)"/>
      <sheetName val="発注情報(6.1.2)"/>
      <sheetName val="発注情報(6.1.4)"/>
      <sheetName val="個人型売却結果(6.2.4)"/>
      <sheetName val="加入者別商品売却情報(6.3.2)"/>
      <sheetName val="約定済情報(6.3.2)"/>
      <sheetName val="加入者別商品売却情報(6.3.3)"/>
      <sheetName val="売却結果按分情報(6.3.3)"/>
      <sheetName val="売却結果按分情報(6.3.4)"/>
      <sheetName val="約定済情報(6.3.4)"/>
      <sheetName val="加入者別商品売却情報(6.4.1)"/>
      <sheetName val="加入者別対象残高(7.2)"/>
      <sheetName val="個人型収益明細情報 (7.3.5)"/>
      <sheetName val="対象残高（按分用）(7.3.6)"/>
      <sheetName val="加入者別収益明細情報(7.3.6)"/>
      <sheetName val="加入者別収益明細情報(7.3.7)"/>
      <sheetName val="加入者別収益情報(7.3.8)"/>
      <sheetName val="個人型収益情報(7.4)"/>
      <sheetName val="個人型買付指図情報(7.4)"/>
      <sheetName val="対象残高（按分用）(7.5.1)"/>
      <sheetName val="再投資結果按分情報(7.5.1)"/>
      <sheetName val="買付取引明細(9.3.5)"/>
      <sheetName val="加入者別売却指図取引明細（10.3）"/>
      <sheetName val="資産売却情報（加入者別)(10.5.1)"/>
      <sheetName val="移管済ステータス(10.5.6)"/>
      <sheetName val="33515(3.5.3)"/>
      <sheetName val="33516(3.5.4)"/>
      <sheetName val="指図書データ（プラン単位）(10.2)"/>
      <sheetName val="売却指図(10.3)"/>
      <sheetName val="売却指図"/>
      <sheetName val="移行先情報(10.5.1)"/>
      <sheetName val="加入者証変更情報(2.1.2.3)"/>
      <sheetName val="加入者口座存在有無(2.2)"/>
      <sheetName val="加入者口座登録情報(2.3.1.1.3)"/>
      <sheetName val="加入者証発行区分(2.3.1.6)"/>
      <sheetName val="加入者証発行区分(2.3.1.6) (2)"/>
      <sheetName val="加入者口座変更(2.3.1.2.3)"/>
      <sheetName val="加入者口座変更 (2.3.1.2.3)(2)"/>
      <sheetName val="加入者拠出金変更(2.3.1.3.2)"/>
      <sheetName val="加入者拠出金変更 (2.3.1.3.2)(2)"/>
      <sheetName val="ＲＯ加入者口座登録情報(2.3.1.5.3)"/>
      <sheetName val="加入者口座情報(2.3.3)"/>
      <sheetName val="33112(3.1.1.4)"/>
      <sheetName val="33151(3.1.2.1)"/>
      <sheetName val="33153(3.12.2)"/>
      <sheetName val="33165(3.1.2.5)"/>
      <sheetName val="33253(3.2.2.1)"/>
      <sheetName val="33334(3.3.7)"/>
      <sheetName val="加入者ｽﾃｰﾀｽ等(5.1.1)"/>
      <sheetName val="加入者ｽﾃｰﾀｽ等 (5.1.2) "/>
      <sheetName val="発送済フラグ"/>
      <sheetName val="加入者ｽﾃｰﾀｽ等(5.1.3) "/>
      <sheetName val="加入者ｽﾃｰﾀｽ区分(5.2.1)"/>
      <sheetName val="加入者ｽﾃｰﾀｽ区分(5.2.3.1)"/>
      <sheetName val="加入者ｽﾃｰﾀｽ区分 (5.2.3.2)"/>
      <sheetName val="支払済ｽﾃｰﾀｽ（5.3.2）"/>
      <sheetName val="受取人情報（5.3.3）"/>
      <sheetName val="加入者口座情報(6.1.4)"/>
      <sheetName val="有効プラン加入者(7.1.2)"/>
      <sheetName val="加入者キー情報(8.3.1)"/>
      <sheetName val="ローン要件情報(加入者）(9.1.1)"/>
      <sheetName val="決済口座情報(9.2.2)"/>
      <sheetName val="返済順序方法(9.3.5)"/>
      <sheetName val="加入者口座属性情報(10.5.2)"/>
      <sheetName val="加入者口座属性情報(10.5.4)"/>
      <sheetName val="従業員名寄せ情報(2.1.1.1)"/>
      <sheetName val="加入者属性登録情報(2.1.1.3)"/>
      <sheetName val="変更前従業員属性情報(2.1.2.1)"/>
      <sheetName val="従業員確認書情報(2.1.2.2)"/>
      <sheetName val="加入者属性変更情報(2.1.2.3)"/>
      <sheetName val="加入者証情報(2.1.2.3)"/>
      <sheetName val="従業員属性情報(2.1.3)"/>
      <sheetName val="募集用加入通知書情報(2.2)"/>
      <sheetName val="加入者存在有無(2.3.1.1.1)"/>
      <sheetName val="加入者属性登録情報(2.3.1.1.2)"/>
      <sheetName val="加入者属性変更(2.3.1.2)"/>
      <sheetName val="加入者属性変更(2.3.1.2) (2)"/>
      <sheetName val="加入者名情報(2.3.1.3.2)"/>
      <sheetName val="加入者名情報(2.3.1.6)"/>
      <sheetName val="33139(3.1.1..4)"/>
      <sheetName val="33503(3.5.1)"/>
      <sheetName val="33603(3.6)"/>
      <sheetName val="24213(4.2.4)"/>
      <sheetName val="24229(4.2.5)"/>
      <sheetName val="生年月日・現況区分(5.1.1)"/>
      <sheetName val="生年月日・現況区分 (5.1.2)"/>
      <sheetName val="生年月日・現況区分(5.1.3) "/>
      <sheetName val="加入者属性情報(5.2.1)"/>
      <sheetName val="加入者属性情報(5.2.2)"/>
      <sheetName val="退職事由等(5.2.3.1)"/>
      <sheetName val="退職事由等(5.2.3.2) (2)"/>
      <sheetName val="加入者属性情報(5.2.3)"/>
      <sheetName val="加入者属性情報(5.3.1)"/>
      <sheetName val="ﾌﾟﾗﾝ脱退情報(5.3.2)"/>
      <sheetName val="加入者属性情報(5.3.3.1)"/>
      <sheetName val="加入者属性情報(5.3.3.2)"/>
      <sheetName val="加入者属性情報(5.3.4.3)"/>
      <sheetName val="企業情報(6.1.2)"/>
      <sheetName val="加入者属性情報(6.1.4)"/>
      <sheetName val="加入者属性情報(6.1.5)"/>
      <sheetName val="加入者属性情報(7.1.2)"/>
      <sheetName val="加入属性情報(9.1.1)"/>
      <sheetName val="加入者属性(9.2.3)"/>
      <sheetName val="延滞情報(9.4.1)"/>
      <sheetName val="対象加入者属性情報(10.1.4)"/>
      <sheetName val="加入者属性情報(10.5.2)"/>
      <sheetName val="加入者属性情報(10.5.4)"/>
      <sheetName val="加入者属性情報(10.5.5)"/>
      <sheetName val="Sheet1"/>
      <sheetName val="Sheet2"/>
      <sheetName val="Sheet3"/>
      <sheetName val="変更要求"/>
      <sheetName val="共通系進捗（2)"/>
      <sheetName val="情報系 (ID)"/>
      <sheetName val="情報系 (ED)"/>
      <sheetName val="情報系(RD)"/>
      <sheetName val="UKE2 係コード"/>
      <sheetName val="UKE2 係コード (2)"/>
      <sheetName val="表紙"/>
      <sheetName val="サマリー"/>
      <sheetName val="TSM Server"/>
      <sheetName val="加入老名情報(2.3.1.3.2)"/>
      <sheetName val="加入者属性情報(10.5*5)"/>
      <sheetName val="個人型受給者情報(1.2.3.2)"/>
      <sheetName val="再投賃結果按分情報(7.5.1)"/>
      <sheetName val="変更前従業員属性惁報(2.1.2.1)"/>
      <sheetName val="加兡者属性情報(5.3.4.3)"/>
      <sheetName val="加兡者別商品売却情報(6.4.1)"/>
      <sheetName val="加入者刡商品売却情報(6.4.1)"/>
      <sheetName val="加入老別売却指図取引明細（10.3）"/>
      <sheetName val="加入老別商品売却情報(6.4.1)"/>
      <sheetName val="保按数量(5.2.3.3)"/>
      <sheetName val="支払済ｽﾃﭰﾀｽ（5.3.2）"/>
      <sheetName val="加入老属性情報(5.3.3.2)"/>
      <sheetName val="33003(3.4)"/>
      <sheetName val="加入者キヸ情報(8.3.1)"/>
      <sheetName val="加入者塞性情報(5.2.2)"/>
      <sheetName val="変更前従業員属性_報(2.1.2.1)"/>
      <sheetName val="加_者属性情報(5.3.4.3)"/>
      <sheetName val="加_者別商品売却情報(6.4.1)"/>
      <sheetName val="加入者_商品売却情報(6.4.1)"/>
      <sheetName val="支払済ｽﾃ_ﾀｽ（5.3.2）"/>
      <sheetName val="加入者属性情報(5.3.19"/>
      <sheetName val="加入者ｽﾃｰﾀ_x0002__x0000__x0000__x0000_+_x0000_⽘_x0015__x0000__x0000_饦"/>
      <sheetName val="_x0000_:_x0013__x0000_0é0°_x0000__x0000__x0000__x0000_ ReQ_x0005_"/>
      <sheetName val="目次"/>
      <sheetName val="HW構成"/>
      <sheetName val="SW構成"/>
      <sheetName val="NW構成"/>
      <sheetName val="BladeCenter構成"/>
      <sheetName val="ユーザー情報一覧"/>
      <sheetName val="Windows共通設定"/>
      <sheetName val="GWサーバー(win)設定情報"/>
      <sheetName val="APサーバー(aix)設定情報"/>
      <sheetName val=":”_x0013__x0000_0é0°_x0000_ ReQ_x0005_"/>
      <sheetName val="進捗表(ISOL）"/>
      <sheetName val="集計表（ISOL）　ｄｏｎ’ｔ　ｔｏｕｃｈ"/>
      <sheetName val="Cover"/>
      <sheetName val="改定履歴 "/>
      <sheetName val=" IHS設定"/>
      <sheetName val="WAS基本設定"/>
      <sheetName val="WAS設定（DB）"/>
      <sheetName val="WAS設定（サーバ）"/>
      <sheetName val="シェル一覧(改訂案)"/>
      <sheetName val="A-AUTO運用ルール(2003.11.28)"/>
      <sheetName val="A-AUTO命名規約(2003.12.17)"/>
      <sheetName val="ネットワーク基本"/>
      <sheetName val="ネットワーク一覧"/>
      <sheetName val="シェル一覧"/>
      <sheetName val="シェル一覧(改訂)"/>
      <sheetName val="pfcaドライバ2.2.1インストール"/>
      <sheetName val="pfcaドライバ2.2.1コンフィグ"/>
      <sheetName val="加入者ｽﾃｰﾀｽ等 (5.±.2) "/>
      <sheetName val="加入者ｽﾃｰﾀ_x0002_   + ⽘_x0015_  饦"/>
      <sheetName val=" :”_x0013_ 0é0°     ReQ_x0005_"/>
      <sheetName val="加入者属性盻録情報(2.3.1.1.2)"/>
      <sheetName val="リスト"/>
      <sheetName val="1.3.6.4.ReturnMonthCmd"/>
      <sheetName val="1.3.6.4.main"/>
      <sheetName val="1.3.6.4._execute"/>
      <sheetName val="新業務機能記述書"/>
      <sheetName val="CS060MPRCSP"/>
      <sheetName val="CS060MPRCPT"/>
      <sheetName val="CS060MPAIRG"/>
      <sheetName val="指図書データ（プラン単位）_x0008_10.2)"/>
      <sheetName val="１－１"/>
      <sheetName val="別紙１"/>
      <sheetName val="１－２"/>
      <sheetName val="支払指図書データ（困窮時）(5ĮÒ.1.3)"/>
      <sheetName val="加入者ｽﾃｰﾀｽ等 (5.1.2)栠"/>
      <sheetName val="個社機能)概要"/>
      <sheetName val="個社機能)詳細"/>
      <sheetName val="共通機能記述（概要）"/>
      <sheetName val="変更履歴"/>
      <sheetName val="定義書"/>
      <sheetName val="処理記述"/>
      <sheetName val="パラメータ領域定義"/>
      <sheetName val="JOB一覧 (給与)"/>
      <sheetName val="JOB一覧 (賞与)"/>
      <sheetName val="JOB一覧 (差額）"/>
      <sheetName val="JOB一覧 (単独年調）"/>
      <sheetName val="JOB一覧(年個）"/>
      <sheetName val="データ編集 (HEN001)"/>
      <sheetName val="データ編集 (HEN002)"/>
      <sheetName val="データ編集 (HEN003)"/>
      <sheetName val="データ編集 (GIPA035)"/>
      <sheetName val="データ編集 (GIPZ005)"/>
      <sheetName val="データ編集 (GIPZ074)"/>
      <sheetName val="データ編集 (GIPZ075)"/>
      <sheetName val="オペ表示項目一覧"/>
      <sheetName val="エラーメッセージ"/>
      <sheetName val="補足説明"/>
      <sheetName val="フォーム・共通機能記述（概要）"/>
      <sheetName val="JOBｸﾞﾙｰﾌﾟﾌﾛｰ"/>
      <sheetName val="Ｘ）JOBｸﾞﾙｰﾌﾟﾌﾛｰ (2)"/>
      <sheetName val="Ｘ）JOBｸﾞﾙｰﾌﾟﾌﾛｰ"/>
      <sheetName val="JOBﾌﾛｰ原紙"/>
      <sheetName val="☆★☆参考→"/>
      <sheetName val="Ｘweb_ＪＯＢ－カタプロ"/>
      <sheetName val="Ｘweb_ＪＯＢ構成"/>
      <sheetName val="XJOBﾈｯﾄ"/>
      <sheetName val="BIPG120_Ｐ６作表"/>
      <sheetName val="旧031114)BIPG120_Ｐ６作表"/>
      <sheetName val="Ｘ旧）BIPG120_Ｐ６作表"/>
      <sheetName val="031127)BIPG120_Ｐ６作表"/>
      <sheetName val="目次・共通"/>
      <sheetName val="目次・外部ｺｰﾄﾞ"/>
      <sheetName val="目次・受信"/>
      <sheetName val="目次・送信"/>
      <sheetName val="目次・給与"/>
      <sheetName val="目次・賞与"/>
      <sheetName val="目次・差額"/>
      <sheetName val="目次・社保"/>
      <sheetName val="目次・私共済"/>
      <sheetName val="目次・地方税"/>
      <sheetName val="目次・年調"/>
      <sheetName val="目次・振込"/>
      <sheetName val="目次・会社情報"/>
      <sheetName val="目次・臨時"/>
      <sheetName val="目次・帳票"/>
      <sheetName val="目次・業務"/>
      <sheetName val="変更管理シート"/>
      <sheetName val="帳票（年個）"/>
      <sheetName val="JOB一覧(共通）"/>
      <sheetName val="運用"/>
      <sheetName val="ﾃｽﾄｹｰｽ一覧"/>
      <sheetName val="☆データ条件★"/>
      <sheetName val="★データ編集Ⅱ-2-(1)"/>
      <sheetName val="☆B010計算"/>
      <sheetName val="加入者ｽﾃｰﾀ_x0002_"/>
      <sheetName val=":”_x0013_"/>
      <sheetName val="ローン要件情報(加入者）㓌9.1.1)"/>
      <sheetName val="障害管理台帳"/>
      <sheetName val="進捗グラフ"/>
      <sheetName val="集計表"/>
      <sheetName val="ローン要件情報(加入者）⻌9.1.1)"/>
      <sheetName val="JOB一٘ಢ蔌る_x0000_"/>
      <sheetName val="JOB一ﱸଊ蔌る_x0000_"/>
      <sheetName val="ローン要件情報(加入者）㓌9.1.1_x0000_"/>
      <sheetName val="☆B010(A031)振込計算"/>
      <sheetName val="JOB一먐°蔌る_x0000_"/>
      <sheetName val="JOB一ᗨኆ蔌る_x0000_"/>
      <sheetName val="ྪ_x0004_Ѐ_x0000_"/>
      <sheetName val=""/>
      <sheetName val="改訂履歴"/>
      <sheetName val="改訂内容"/>
      <sheetName val="1.前提"/>
      <sheetName val="2.IPOﾀﾞｲｱｸﾞﾗﾑ(1)"/>
      <sheetName val="2.IPOﾀﾞｲｱｸﾞﾗﾑ(2)"/>
      <sheetName val="2.IPOﾀﾞｲｱｸﾞﾗﾑ(3)"/>
      <sheetName val="2.IPOﾀﾞｲｱｸﾞﾗﾑ(4)"/>
      <sheetName val="3.ﾁｪｯｸ仕様"/>
      <sheetName val="4.編集仕様（受渡ﾊﾟﾗﾒｰﾀ）(1)"/>
      <sheetName val="4.編集仕様（受渡ﾊﾟﾗﾒｰﾀ）(2)"/>
      <sheetName val="4.編集仕様（受渡ﾊﾟﾗﾒｰﾀ）(3)"/>
      <sheetName val="4.編集仕様（受渡ﾊﾟﾗﾒｰﾀ）(4)"/>
      <sheetName val="5.データベース編集仕様"/>
      <sheetName val="6.金銭拘束残高依頼実行一覧"/>
      <sheetName val="7.パラメータレイアウト"/>
      <sheetName val="8.添付資料(日本語マクロガイド)"/>
      <sheetName val="日本語マクロガイド【NKEJ10】"/>
      <sheetName val="VKBJ04C"/>
      <sheetName val="JOB一_x0010__x0000_괠Ţ踇"/>
      <sheetName val="JOB一蚘_x0013_޹〚_x0005_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/>
      <sheetData sheetId="76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/>
      <sheetData sheetId="155"/>
      <sheetData sheetId="156"/>
      <sheetData sheetId="157" refreshError="1"/>
      <sheetData sheetId="158" refreshError="1"/>
      <sheetData sheetId="159" refreshError="1"/>
      <sheetData sheetId="160"/>
      <sheetData sheetId="161" refreshError="1"/>
      <sheetData sheetId="162"/>
      <sheetData sheetId="163"/>
      <sheetData sheetId="164"/>
      <sheetData sheetId="165"/>
      <sheetData sheetId="166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 refreshError="1"/>
      <sheetData sheetId="201"/>
      <sheetData sheetId="202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/>
      <sheetData sheetId="217"/>
      <sheetData sheetId="218" refreshError="1"/>
      <sheetData sheetId="219" refreshError="1"/>
      <sheetData sheetId="220" refreshError="1"/>
      <sheetData sheetId="221" refreshError="1"/>
      <sheetData sheetId="222"/>
      <sheetData sheetId="223" refreshError="1"/>
      <sheetData sheetId="224" refreshError="1"/>
      <sheetData sheetId="225" refreshError="1"/>
      <sheetData sheetId="226" refreshError="1"/>
      <sheetData sheetId="227"/>
      <sheetData sheetId="228" refreshError="1"/>
      <sheetData sheetId="229"/>
      <sheetData sheetId="230"/>
      <sheetData sheetId="231"/>
      <sheetData sheetId="232" refreshError="1"/>
      <sheetData sheetId="233" refreshError="1"/>
      <sheetData sheetId="234"/>
      <sheetData sheetId="235"/>
      <sheetData sheetId="236"/>
      <sheetData sheetId="237"/>
      <sheetData sheetId="238"/>
      <sheetData sheetId="239"/>
      <sheetData sheetId="240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/>
      <sheetData sheetId="287" refreshError="1"/>
      <sheetData sheetId="288" refreshError="1"/>
      <sheetData sheetId="289"/>
      <sheetData sheetId="290"/>
      <sheetData sheetId="291"/>
      <sheetData sheetId="292"/>
      <sheetData sheetId="293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/>
      <sheetData sheetId="302"/>
      <sheetData sheetId="303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 refreshError="1"/>
      <sheetData sheetId="328" refreshError="1"/>
      <sheetData sheetId="329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表紙"/>
      <sheetName val="目次"/>
      <sheetName val="3月17日"/>
      <sheetName val="3月31日"/>
      <sheetName val="HW構成"/>
      <sheetName val="SSA構成図"/>
      <sheetName val="ノード1.3.5"/>
      <sheetName val="ノード7.9.11"/>
      <sheetName val="SW構成"/>
      <sheetName val="IP"/>
      <sheetName val="VG LV"/>
      <sheetName val="導入SW"/>
      <sheetName val="sys0_1"/>
      <sheetName val="sys0_2"/>
      <sheetName val="sys0_3"/>
      <sheetName val="DISK_1"/>
      <sheetName val="DISK_2"/>
      <sheetName val="DISK_3"/>
      <sheetName val="DISK_4"/>
      <sheetName val="user1"/>
      <sheetName val="user2"/>
      <sheetName val="user3"/>
      <sheetName val="PSSP1"/>
      <sheetName val="PSSP2"/>
      <sheetName val="PSSP3"/>
      <sheetName val="PSSP4"/>
      <sheetName val="PSSP5"/>
      <sheetName val="HA概要"/>
      <sheetName val="ワークシート 1"/>
      <sheetName val="ワークシート 2"/>
      <sheetName val="HACMPパラメータ属性"/>
      <sheetName val="TSM運用"/>
      <sheetName val="TSM構成"/>
      <sheetName val="TSM_WS1"/>
      <sheetName val="TSM_WS2"/>
      <sheetName val="TSM_WS3"/>
      <sheetName val="TSM_WS4"/>
      <sheetName val="TSM_WS5"/>
      <sheetName val="TSM_WS6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1-1-02-2．SSAループ構成図</v>
          </cell>
        </row>
        <row r="4">
          <cell r="B4" t="str">
            <v>A1</v>
          </cell>
          <cell r="C4" t="str">
            <v>NODE1</v>
          </cell>
          <cell r="D4" t="str">
            <v>A2</v>
          </cell>
          <cell r="F4" t="str">
            <v>A1</v>
          </cell>
          <cell r="G4" t="str">
            <v>NODE11</v>
          </cell>
          <cell r="H4" t="str">
            <v>A2</v>
          </cell>
        </row>
        <row r="8">
          <cell r="B8">
            <v>1</v>
          </cell>
          <cell r="H8">
            <v>16</v>
          </cell>
        </row>
        <row r="9">
          <cell r="B9">
            <v>2</v>
          </cell>
          <cell r="H9">
            <v>15</v>
          </cell>
        </row>
        <row r="10">
          <cell r="B10">
            <v>3</v>
          </cell>
          <cell r="H10">
            <v>14</v>
          </cell>
        </row>
        <row r="11">
          <cell r="B11">
            <v>4</v>
          </cell>
          <cell r="H11">
            <v>13</v>
          </cell>
        </row>
        <row r="14">
          <cell r="B14" t="str">
            <v>A2</v>
          </cell>
          <cell r="C14" t="str">
            <v>NODE3</v>
          </cell>
          <cell r="D14" t="str">
            <v>A1</v>
          </cell>
        </row>
        <row r="16">
          <cell r="F16" t="str">
            <v>A1</v>
          </cell>
          <cell r="G16" t="str">
            <v>NODE9</v>
          </cell>
          <cell r="H16" t="str">
            <v>A2</v>
          </cell>
        </row>
        <row r="19">
          <cell r="B19" t="str">
            <v>A1</v>
          </cell>
          <cell r="C19" t="str">
            <v>NODE5</v>
          </cell>
          <cell r="D19" t="str">
            <v>A2</v>
          </cell>
        </row>
        <row r="22">
          <cell r="B22">
            <v>5</v>
          </cell>
          <cell r="H22">
            <v>12</v>
          </cell>
        </row>
        <row r="23">
          <cell r="B23">
            <v>6</v>
          </cell>
          <cell r="H23">
            <v>11</v>
          </cell>
        </row>
        <row r="24">
          <cell r="B24">
            <v>7</v>
          </cell>
          <cell r="H24">
            <v>10</v>
          </cell>
        </row>
        <row r="25">
          <cell r="B25">
            <v>8</v>
          </cell>
          <cell r="H25">
            <v>9</v>
          </cell>
        </row>
        <row r="28">
          <cell r="D28" t="str">
            <v>A2</v>
          </cell>
          <cell r="E28" t="str">
            <v>NODE7</v>
          </cell>
          <cell r="F28" t="str">
            <v>A1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定義"/>
      <sheetName val="業務分類台帳入力"/>
      <sheetName val="選択肢(個別)"/>
      <sheetName val="選択肢(パターン)"/>
      <sheetName val="IT基盤選択肢"/>
      <sheetName val="業務コード一覧"/>
      <sheetName val="ｼｽﾃﾑ管理台帳"/>
      <sheetName val="Sheet1"/>
    </sheetNames>
    <sheetDataSet>
      <sheetData sheetId="0"/>
      <sheetData sheetId="1"/>
      <sheetData sheetId="2">
        <row r="2">
          <cell r="A2" t="str">
            <v>インフラ</v>
          </cell>
          <cell r="C2" t="str">
            <v>AV・IT完成品</v>
          </cell>
          <cell r="E2" t="str">
            <v>IT推進本部会</v>
          </cell>
          <cell r="G2" t="str">
            <v>BOM</v>
          </cell>
        </row>
        <row r="3">
          <cell r="A3" t="str">
            <v>活動（イベント）</v>
          </cell>
          <cell r="C3" t="str">
            <v>AV・IT部品</v>
          </cell>
          <cell r="E3" t="str">
            <v>IT報告書</v>
          </cell>
          <cell r="G3" t="str">
            <v>IT投資状況分析</v>
          </cell>
        </row>
        <row r="4">
          <cell r="A4" t="str">
            <v>共通</v>
          </cell>
          <cell r="C4" t="str">
            <v>ITガバナンス</v>
          </cell>
          <cell r="E4" t="str">
            <v>おしかけ座談会</v>
          </cell>
          <cell r="G4" t="str">
            <v>グループウェア</v>
          </cell>
        </row>
        <row r="5">
          <cell r="A5" t="str">
            <v>業務システム</v>
          </cell>
          <cell r="C5" t="str">
            <v>アフターサービス</v>
          </cell>
          <cell r="E5" t="str">
            <v>サービス運用</v>
          </cell>
          <cell r="G5" t="str">
            <v>コンピュータ機器管理</v>
          </cell>
        </row>
        <row r="6">
          <cell r="C6" t="str">
            <v>クライアント機器管理</v>
          </cell>
          <cell r="E6" t="str">
            <v>システム基盤運用</v>
          </cell>
          <cell r="G6" t="str">
            <v>コンプライアンス活動</v>
          </cell>
        </row>
        <row r="7">
          <cell r="C7" t="str">
            <v>グループウェア</v>
          </cell>
          <cell r="E7" t="str">
            <v>ファシリティ管理</v>
          </cell>
          <cell r="G7" t="str">
            <v>システム概況分析</v>
          </cell>
        </row>
        <row r="8">
          <cell r="C8" t="str">
            <v>サーバ管理</v>
          </cell>
          <cell r="E8" t="str">
            <v>マスター管理</v>
          </cell>
          <cell r="G8" t="str">
            <v>セキュリティ管理</v>
          </cell>
        </row>
        <row r="9">
          <cell r="C9" t="str">
            <v>ストレージ管理</v>
          </cell>
          <cell r="E9" t="str">
            <v>リゾート・旅行サービス管理</v>
          </cell>
          <cell r="G9" t="str">
            <v>ソフトウェアライセンス管理</v>
          </cell>
        </row>
        <row r="10">
          <cell r="C10" t="str">
            <v>セキュリティ管理</v>
          </cell>
          <cell r="E10" t="str">
            <v>レンタル・リースサービス管理</v>
          </cell>
          <cell r="G10" t="str">
            <v>パンデミック対策</v>
          </cell>
        </row>
        <row r="11">
          <cell r="C11" t="str">
            <v>ソフトウェア</v>
          </cell>
          <cell r="E11" t="str">
            <v>安全衛生</v>
          </cell>
          <cell r="G11" t="str">
            <v>ベンダー管理</v>
          </cell>
        </row>
        <row r="12">
          <cell r="C12" t="str">
            <v>テレコミュニケーション</v>
          </cell>
          <cell r="E12" t="str">
            <v>管理会計</v>
          </cell>
          <cell r="G12" t="str">
            <v>メンバー管理</v>
          </cell>
        </row>
        <row r="13">
          <cell r="C13" t="str">
            <v>ファシリティ管理</v>
          </cell>
          <cell r="E13" t="str">
            <v>危機管理</v>
          </cell>
          <cell r="G13" t="str">
            <v>ユーザー満足度調査</v>
          </cell>
        </row>
        <row r="14">
          <cell r="C14" t="str">
            <v>リゾートビジネス</v>
          </cell>
          <cell r="E14" t="str">
            <v>教育サービス管理</v>
          </cell>
          <cell r="G14" t="str">
            <v>リース管理</v>
          </cell>
        </row>
        <row r="15">
          <cell r="C15" t="str">
            <v>レンタル・リースビジネス</v>
          </cell>
          <cell r="E15" t="str">
            <v>計画管理</v>
          </cell>
          <cell r="G15" t="str">
            <v>レッスン管理（教材・日程）</v>
          </cell>
        </row>
        <row r="16">
          <cell r="C16" t="str">
            <v>仮想化</v>
          </cell>
          <cell r="E16" t="str">
            <v>原価管理</v>
          </cell>
          <cell r="G16" t="str">
            <v>意匠権管理</v>
          </cell>
        </row>
        <row r="17">
          <cell r="C17" t="str">
            <v>稼働スケジュール管理</v>
          </cell>
          <cell r="E17" t="str">
            <v>広報</v>
          </cell>
          <cell r="G17" t="str">
            <v>運転管理</v>
          </cell>
        </row>
        <row r="18">
          <cell r="C18" t="str">
            <v>会計</v>
          </cell>
          <cell r="E18" t="str">
            <v>購買管理</v>
          </cell>
          <cell r="G18" t="str">
            <v>営業利益予算</v>
          </cell>
        </row>
        <row r="19">
          <cell r="C19" t="str">
            <v>海外卸（元物品販売）</v>
          </cell>
          <cell r="E19" t="str">
            <v>災害対策</v>
          </cell>
          <cell r="G19" t="str">
            <v>化学物質調査</v>
          </cell>
        </row>
        <row r="20">
          <cell r="C20" t="str">
            <v>楽器完成品</v>
          </cell>
          <cell r="E20" t="str">
            <v>財務会計</v>
          </cell>
          <cell r="G20" t="str">
            <v>稼働スケジュール管理</v>
          </cell>
        </row>
        <row r="21">
          <cell r="C21" t="str">
            <v>楽器部品</v>
          </cell>
          <cell r="E21" t="str">
            <v>資産管理</v>
          </cell>
          <cell r="G21" t="str">
            <v>稼動スケジュール管理</v>
          </cell>
        </row>
        <row r="22">
          <cell r="C22" t="str">
            <v>監視</v>
          </cell>
          <cell r="E22" t="str">
            <v>受注管理</v>
          </cell>
          <cell r="G22" t="str">
            <v>会場管理</v>
          </cell>
        </row>
        <row r="23">
          <cell r="C23" t="str">
            <v>管理</v>
          </cell>
          <cell r="E23" t="str">
            <v>出荷管理</v>
          </cell>
          <cell r="G23" t="str">
            <v>勘定科目</v>
          </cell>
        </row>
        <row r="24">
          <cell r="C24" t="str">
            <v>危機管理</v>
          </cell>
          <cell r="E24" t="str">
            <v>情報収集・分析</v>
          </cell>
          <cell r="G24" t="str">
            <v>環境ISO</v>
          </cell>
        </row>
        <row r="25">
          <cell r="C25" t="str">
            <v>共通サービス</v>
          </cell>
          <cell r="E25" t="str">
            <v>人材派遣サービス管理</v>
          </cell>
          <cell r="G25" t="str">
            <v>監視</v>
          </cell>
        </row>
        <row r="26">
          <cell r="C26" t="str">
            <v>教室ビジネス</v>
          </cell>
          <cell r="E26" t="str">
            <v>人事管理</v>
          </cell>
          <cell r="G26" t="str">
            <v>基準生産計画（ＭＰＳ）</v>
          </cell>
        </row>
        <row r="27">
          <cell r="C27" t="str">
            <v>金融(カード・保険)ビジネス</v>
          </cell>
          <cell r="E27" t="str">
            <v>製造工程管理</v>
          </cell>
          <cell r="G27" t="str">
            <v>議事進行</v>
          </cell>
        </row>
        <row r="28">
          <cell r="C28" t="str">
            <v>広報</v>
          </cell>
          <cell r="E28" t="str">
            <v>製品保守管理</v>
          </cell>
          <cell r="G28" t="str">
            <v>共通サービス</v>
          </cell>
        </row>
        <row r="29">
          <cell r="C29" t="str">
            <v>国内卸（元物品販売）</v>
          </cell>
          <cell r="E29" t="str">
            <v>設計管理</v>
          </cell>
          <cell r="G29" t="str">
            <v>業務報告書</v>
          </cell>
        </row>
        <row r="30">
          <cell r="C30" t="str">
            <v>小売</v>
          </cell>
          <cell r="E30" t="str">
            <v>倉庫管理</v>
          </cell>
          <cell r="G30" t="str">
            <v>銀行</v>
          </cell>
        </row>
        <row r="31">
          <cell r="C31" t="str">
            <v>状況の把握</v>
          </cell>
          <cell r="E31" t="str">
            <v>知的財産権管理</v>
          </cell>
          <cell r="G31" t="str">
            <v>契約情報</v>
          </cell>
        </row>
        <row r="32">
          <cell r="C32" t="str">
            <v>人材派遣ビジネス</v>
          </cell>
          <cell r="E32" t="str">
            <v>買掛管理</v>
          </cell>
          <cell r="G32" t="str">
            <v>見積・引合</v>
          </cell>
        </row>
        <row r="33">
          <cell r="C33" t="str">
            <v>人事管理</v>
          </cell>
          <cell r="E33" t="str">
            <v>売掛管理</v>
          </cell>
          <cell r="G33" t="str">
            <v>原価集計・コスト見積</v>
          </cell>
        </row>
        <row r="34">
          <cell r="C34" t="str">
            <v>知的財産権管理</v>
          </cell>
          <cell r="E34" t="str">
            <v>品質管理</v>
          </cell>
          <cell r="G34" t="str">
            <v>個人情報管理</v>
          </cell>
        </row>
        <row r="35">
          <cell r="C35" t="str">
            <v>電子部品</v>
          </cell>
          <cell r="E35" t="str">
            <v>予算管理</v>
          </cell>
          <cell r="G35" t="str">
            <v>固定資産管理</v>
          </cell>
        </row>
        <row r="36">
          <cell r="C36" t="str">
            <v>報告</v>
          </cell>
          <cell r="G36" t="str">
            <v>固定資産管理（無形）</v>
          </cell>
        </row>
        <row r="37">
          <cell r="G37" t="str">
            <v>固定資産管理（有形）</v>
          </cell>
        </row>
        <row r="38">
          <cell r="G38" t="str">
            <v>顧客管理</v>
          </cell>
        </row>
        <row r="39">
          <cell r="G39" t="str">
            <v>工数</v>
          </cell>
        </row>
        <row r="40">
          <cell r="G40" t="str">
            <v>工程（作業区）</v>
          </cell>
        </row>
        <row r="41">
          <cell r="G41" t="str">
            <v>工程作業計画</v>
          </cell>
        </row>
        <row r="42">
          <cell r="G42" t="str">
            <v>広報活動</v>
          </cell>
        </row>
        <row r="43">
          <cell r="G43" t="str">
            <v>構成管理</v>
          </cell>
        </row>
        <row r="44">
          <cell r="G44" t="str">
            <v>講師管理</v>
          </cell>
        </row>
        <row r="45">
          <cell r="G45" t="str">
            <v>購買情報</v>
          </cell>
        </row>
        <row r="46">
          <cell r="G46" t="str">
            <v>購買発注</v>
          </cell>
        </row>
        <row r="47">
          <cell r="G47" t="str">
            <v>債権管理</v>
          </cell>
        </row>
        <row r="48">
          <cell r="G48" t="str">
            <v>債務管理</v>
          </cell>
        </row>
        <row r="49">
          <cell r="G49" t="str">
            <v>災害/安全対策</v>
          </cell>
        </row>
        <row r="50">
          <cell r="G50" t="str">
            <v>在庫管理</v>
          </cell>
        </row>
        <row r="51">
          <cell r="G51" t="str">
            <v>在庫統計管理</v>
          </cell>
        </row>
        <row r="52">
          <cell r="G52" t="str">
            <v>在庫予算</v>
          </cell>
        </row>
        <row r="53">
          <cell r="G53" t="str">
            <v>財務報告作成</v>
          </cell>
        </row>
        <row r="54">
          <cell r="G54" t="str">
            <v>作業手順</v>
          </cell>
        </row>
        <row r="55">
          <cell r="G55" t="str">
            <v>仕入先</v>
          </cell>
        </row>
        <row r="56">
          <cell r="G56" t="str">
            <v>仕入先評価</v>
          </cell>
        </row>
        <row r="57">
          <cell r="G57" t="str">
            <v>仕販在庫計画</v>
          </cell>
        </row>
        <row r="58">
          <cell r="G58" t="str">
            <v>支払処理</v>
          </cell>
        </row>
        <row r="59">
          <cell r="G59" t="str">
            <v>資材所要量計画（ＭＲＰ）</v>
          </cell>
        </row>
        <row r="60">
          <cell r="G60" t="str">
            <v>資産管理</v>
          </cell>
        </row>
        <row r="61">
          <cell r="G61" t="str">
            <v>資産評価</v>
          </cell>
        </row>
        <row r="62">
          <cell r="G62" t="str">
            <v>事業部別BS管理</v>
          </cell>
        </row>
        <row r="63">
          <cell r="G63" t="str">
            <v>事務所環境整備</v>
          </cell>
        </row>
        <row r="64">
          <cell r="G64" t="str">
            <v>実際原価積上</v>
          </cell>
        </row>
        <row r="65">
          <cell r="G65" t="str">
            <v>実績管理</v>
          </cell>
        </row>
        <row r="66">
          <cell r="G66" t="str">
            <v>実用新案権管理</v>
          </cell>
        </row>
        <row r="67">
          <cell r="G67" t="str">
            <v>借入金予算</v>
          </cell>
        </row>
        <row r="68">
          <cell r="G68" t="str">
            <v>手配計画</v>
          </cell>
        </row>
        <row r="69">
          <cell r="G69" t="str">
            <v>受注</v>
          </cell>
        </row>
        <row r="70">
          <cell r="G70" t="str">
            <v>受発注・専伝情報</v>
          </cell>
        </row>
        <row r="71">
          <cell r="G71" t="str">
            <v>修理管理</v>
          </cell>
        </row>
        <row r="72">
          <cell r="G72" t="str">
            <v>従業員管理</v>
          </cell>
        </row>
        <row r="73">
          <cell r="G73" t="str">
            <v>出荷</v>
          </cell>
        </row>
        <row r="74">
          <cell r="G74" t="str">
            <v>出金処理</v>
          </cell>
        </row>
        <row r="75">
          <cell r="G75" t="str">
            <v>出庫（払出）</v>
          </cell>
        </row>
        <row r="76">
          <cell r="G76" t="str">
            <v>商標権管理</v>
          </cell>
        </row>
        <row r="77">
          <cell r="G77" t="str">
            <v>情報ネットワークセキュリティ管理</v>
          </cell>
        </row>
        <row r="78">
          <cell r="G78" t="str">
            <v>人員計画</v>
          </cell>
        </row>
        <row r="79">
          <cell r="G79" t="str">
            <v>人材育成</v>
          </cell>
        </row>
        <row r="80">
          <cell r="G80" t="str">
            <v>人材情報管理</v>
          </cell>
        </row>
        <row r="81">
          <cell r="G81" t="str">
            <v>図面管理</v>
          </cell>
        </row>
        <row r="82">
          <cell r="G82" t="str">
            <v>性能管理</v>
          </cell>
        </row>
        <row r="83">
          <cell r="G83" t="str">
            <v>成績管理（グレード）</v>
          </cell>
        </row>
        <row r="84">
          <cell r="G84" t="str">
            <v>生産計画</v>
          </cell>
        </row>
        <row r="85">
          <cell r="G85" t="str">
            <v>生産予算</v>
          </cell>
        </row>
        <row r="86">
          <cell r="G86" t="str">
            <v>生徒管理</v>
          </cell>
        </row>
        <row r="87">
          <cell r="G87" t="str">
            <v>生販在庫計画</v>
          </cell>
        </row>
        <row r="88">
          <cell r="G88" t="str">
            <v>製造指示</v>
          </cell>
        </row>
        <row r="89">
          <cell r="G89" t="str">
            <v>製造進捗管理</v>
          </cell>
        </row>
        <row r="90">
          <cell r="G90" t="str">
            <v>請求書発行</v>
          </cell>
        </row>
        <row r="91">
          <cell r="G91" t="str">
            <v>税管理</v>
          </cell>
        </row>
        <row r="92">
          <cell r="G92" t="str">
            <v>設計管理</v>
          </cell>
        </row>
        <row r="93">
          <cell r="G93" t="str">
            <v>設備管理</v>
          </cell>
        </row>
        <row r="94">
          <cell r="G94" t="str">
            <v>設備投資予算</v>
          </cell>
        </row>
        <row r="95">
          <cell r="G95" t="str">
            <v>戦略マップ作成</v>
          </cell>
        </row>
        <row r="96">
          <cell r="G96" t="str">
            <v>組織情報管理</v>
          </cell>
        </row>
        <row r="97">
          <cell r="G97" t="str">
            <v>総勘定元帳</v>
          </cell>
        </row>
        <row r="98">
          <cell r="G98" t="str">
            <v>棚卸管理</v>
          </cell>
        </row>
        <row r="99">
          <cell r="G99" t="str">
            <v>中期計画書分析</v>
          </cell>
        </row>
        <row r="100">
          <cell r="G100" t="str">
            <v>著作権管理</v>
          </cell>
        </row>
        <row r="101">
          <cell r="G101" t="str">
            <v>調律管理</v>
          </cell>
        </row>
        <row r="102">
          <cell r="G102" t="str">
            <v>賃率</v>
          </cell>
        </row>
        <row r="103">
          <cell r="G103" t="str">
            <v>投資勘定</v>
          </cell>
        </row>
        <row r="104">
          <cell r="G104" t="str">
            <v>投資計画</v>
          </cell>
        </row>
        <row r="105">
          <cell r="G105" t="str">
            <v>得意先</v>
          </cell>
        </row>
        <row r="106">
          <cell r="G106" t="str">
            <v>特許管理</v>
          </cell>
        </row>
        <row r="107">
          <cell r="G107" t="str">
            <v>内部統制</v>
          </cell>
        </row>
        <row r="108">
          <cell r="G108" t="str">
            <v>入金処理</v>
          </cell>
        </row>
        <row r="109">
          <cell r="G109" t="str">
            <v>入金消込（残高確認）</v>
          </cell>
        </row>
        <row r="110">
          <cell r="G110" t="str">
            <v>入庫（受入）</v>
          </cell>
        </row>
        <row r="111">
          <cell r="G111" t="str">
            <v>納期管理</v>
          </cell>
        </row>
        <row r="112">
          <cell r="G112" t="str">
            <v>能率</v>
          </cell>
        </row>
        <row r="113">
          <cell r="G113" t="str">
            <v>廃番管理</v>
          </cell>
        </row>
        <row r="114">
          <cell r="G114" t="str">
            <v>買掛金計上</v>
          </cell>
        </row>
        <row r="115">
          <cell r="G115" t="str">
            <v>売掛金計上</v>
          </cell>
        </row>
        <row r="116">
          <cell r="G116" t="str">
            <v>売上・在庫計画</v>
          </cell>
        </row>
        <row r="117">
          <cell r="G117" t="str">
            <v>売上担当</v>
          </cell>
        </row>
        <row r="118">
          <cell r="G118" t="str">
            <v>売上予算</v>
          </cell>
        </row>
        <row r="119">
          <cell r="G119" t="str">
            <v>売上予実績</v>
          </cell>
        </row>
        <row r="120">
          <cell r="G120" t="str">
            <v>販売統計管理</v>
          </cell>
        </row>
        <row r="121">
          <cell r="G121" t="str">
            <v>販売予測</v>
          </cell>
        </row>
        <row r="122">
          <cell r="G122" t="str">
            <v>標準原価積上</v>
          </cell>
        </row>
        <row r="123">
          <cell r="G123" t="str">
            <v>品質検査</v>
          </cell>
        </row>
        <row r="124">
          <cell r="G124" t="str">
            <v>品目</v>
          </cell>
        </row>
        <row r="125">
          <cell r="G125" t="str">
            <v>部門</v>
          </cell>
        </row>
        <row r="126">
          <cell r="G126" t="str">
            <v>部門損益</v>
          </cell>
        </row>
        <row r="127">
          <cell r="G127" t="str">
            <v>福利厚生管理</v>
          </cell>
        </row>
        <row r="128">
          <cell r="G128" t="str">
            <v>変更/リリース管理</v>
          </cell>
        </row>
        <row r="129">
          <cell r="G129" t="str">
            <v>保守/点検</v>
          </cell>
        </row>
        <row r="130">
          <cell r="G130" t="str">
            <v>報酬管理（勤怠・給与）</v>
          </cell>
        </row>
        <row r="131">
          <cell r="G131" t="str">
            <v>防災対策</v>
          </cell>
        </row>
        <row r="132">
          <cell r="G132" t="str">
            <v>無形固定資産管理</v>
          </cell>
        </row>
        <row r="133">
          <cell r="G133" t="str">
            <v>問題管理</v>
          </cell>
        </row>
        <row r="134">
          <cell r="G134" t="str">
            <v>問題管理</v>
          </cell>
        </row>
        <row r="135">
          <cell r="G135" t="str">
            <v>輸出入手続</v>
          </cell>
        </row>
      </sheetData>
      <sheetData sheetId="3"/>
      <sheetData sheetId="4">
        <row r="2">
          <cell r="A2" t="str">
            <v>SAP</v>
          </cell>
        </row>
        <row r="3">
          <cell r="A3" t="str">
            <v>HOST</v>
          </cell>
        </row>
        <row r="4">
          <cell r="A4" t="str">
            <v>BASE</v>
          </cell>
        </row>
        <row r="5">
          <cell r="A5" t="str">
            <v>YEAST</v>
          </cell>
        </row>
        <row r="6">
          <cell r="A6" t="str">
            <v>TAP</v>
          </cell>
        </row>
        <row r="7">
          <cell r="A7" t="str">
            <v>ACOS</v>
          </cell>
        </row>
        <row r="8">
          <cell r="A8" t="str">
            <v>ChESS</v>
          </cell>
        </row>
        <row r="9">
          <cell r="A9" t="str">
            <v>Notes</v>
          </cell>
        </row>
        <row r="10">
          <cell r="A10" t="str">
            <v>Adagio</v>
          </cell>
        </row>
        <row r="11">
          <cell r="A11" t="str">
            <v>SPIRAL</v>
          </cell>
        </row>
        <row r="12">
          <cell r="A12" t="str">
            <v>Y-TONE</v>
          </cell>
        </row>
        <row r="13">
          <cell r="A13" t="str">
            <v>POS</v>
          </cell>
        </row>
        <row r="14">
          <cell r="A14" t="str">
            <v>PDM</v>
          </cell>
        </row>
        <row r="15">
          <cell r="A15" t="str">
            <v>統合サーバー</v>
          </cell>
        </row>
        <row r="16">
          <cell r="A16" t="str">
            <v>iSFA</v>
          </cell>
        </row>
      </sheetData>
      <sheetData sheetId="5"/>
      <sheetData sheetId="6">
        <row r="5">
          <cell r="A5" t="str">
            <v>AA</v>
          </cell>
        </row>
        <row r="6">
          <cell r="A6" t="str">
            <v>AN</v>
          </cell>
        </row>
        <row r="7">
          <cell r="A7" t="str">
            <v>AO</v>
          </cell>
        </row>
        <row r="8">
          <cell r="A8" t="str">
            <v>AO3</v>
          </cell>
        </row>
        <row r="9">
          <cell r="A9" t="str">
            <v>AO5</v>
          </cell>
        </row>
        <row r="10">
          <cell r="A10" t="str">
            <v>AOC</v>
          </cell>
        </row>
        <row r="11">
          <cell r="A11" t="str">
            <v>BA</v>
          </cell>
        </row>
        <row r="12">
          <cell r="A12" t="str">
            <v>BF</v>
          </cell>
        </row>
        <row r="13">
          <cell r="A13" t="str">
            <v>BM</v>
          </cell>
        </row>
        <row r="14">
          <cell r="A14" t="str">
            <v>BS</v>
          </cell>
        </row>
        <row r="15">
          <cell r="A15" t="str">
            <v>BX</v>
          </cell>
        </row>
        <row r="16">
          <cell r="A16" t="str">
            <v>DA</v>
          </cell>
        </row>
        <row r="17">
          <cell r="A17" t="str">
            <v>DA</v>
          </cell>
        </row>
        <row r="18">
          <cell r="A18" t="str">
            <v>DA</v>
          </cell>
        </row>
        <row r="19">
          <cell r="A19" t="str">
            <v>DAW</v>
          </cell>
        </row>
        <row r="20">
          <cell r="A20" t="str">
            <v>DO</v>
          </cell>
        </row>
        <row r="21">
          <cell r="A21" t="str">
            <v>DR</v>
          </cell>
        </row>
        <row r="22">
          <cell r="A22" t="str">
            <v>EJ1</v>
          </cell>
        </row>
        <row r="23">
          <cell r="A23" t="str">
            <v>EP</v>
          </cell>
        </row>
        <row r="24">
          <cell r="A24" t="str">
            <v>EP1</v>
          </cell>
        </row>
        <row r="25">
          <cell r="A25" t="str">
            <v>ESA</v>
          </cell>
        </row>
        <row r="26">
          <cell r="A26" t="str">
            <v>GK1</v>
          </cell>
        </row>
        <row r="27">
          <cell r="A27" t="str">
            <v>GR</v>
          </cell>
        </row>
        <row r="28">
          <cell r="A28" t="str">
            <v>HB</v>
          </cell>
        </row>
        <row r="29">
          <cell r="A29" t="str">
            <v>HB1</v>
          </cell>
        </row>
        <row r="30">
          <cell r="A30" t="str">
            <v>HB2</v>
          </cell>
        </row>
        <row r="31">
          <cell r="A31" t="str">
            <v>HIA</v>
          </cell>
        </row>
        <row r="32">
          <cell r="A32" t="str">
            <v>IE</v>
          </cell>
        </row>
        <row r="33">
          <cell r="A33" t="str">
            <v>IG</v>
          </cell>
        </row>
        <row r="34">
          <cell r="A34" t="str">
            <v>IGD</v>
          </cell>
        </row>
        <row r="35">
          <cell r="A35" t="str">
            <v>IK</v>
          </cell>
        </row>
        <row r="36">
          <cell r="A36" t="str">
            <v>IT</v>
          </cell>
        </row>
        <row r="37">
          <cell r="A37" t="str">
            <v>ITA</v>
          </cell>
        </row>
        <row r="38">
          <cell r="A38" t="str">
            <v>ITB</v>
          </cell>
        </row>
        <row r="39">
          <cell r="A39" t="str">
            <v>JA</v>
          </cell>
        </row>
        <row r="40">
          <cell r="A40" t="str">
            <v>JEC</v>
          </cell>
        </row>
        <row r="41">
          <cell r="A41" t="str">
            <v>JJ</v>
          </cell>
        </row>
        <row r="42">
          <cell r="A42" t="str">
            <v>JJC</v>
          </cell>
        </row>
        <row r="43">
          <cell r="A43" t="str">
            <v>JK</v>
          </cell>
        </row>
        <row r="44">
          <cell r="A44" t="str">
            <v>JS</v>
          </cell>
        </row>
        <row r="45">
          <cell r="A45" t="str">
            <v>JS</v>
          </cell>
        </row>
        <row r="46">
          <cell r="A46" t="str">
            <v>JSC</v>
          </cell>
        </row>
        <row r="47">
          <cell r="A47" t="str">
            <v>JU</v>
          </cell>
        </row>
        <row r="48">
          <cell r="A48" t="str">
            <v>JW</v>
          </cell>
        </row>
        <row r="49">
          <cell r="A49" t="str">
            <v>JWC</v>
          </cell>
        </row>
        <row r="50">
          <cell r="A50" t="str">
            <v>JWS</v>
          </cell>
        </row>
        <row r="51">
          <cell r="A51" t="str">
            <v>KB</v>
          </cell>
        </row>
        <row r="52">
          <cell r="A52" t="str">
            <v>KBA</v>
          </cell>
        </row>
        <row r="53">
          <cell r="A53" t="str">
            <v>KD</v>
          </cell>
        </row>
        <row r="54">
          <cell r="A54" t="str">
            <v>KEC</v>
          </cell>
        </row>
        <row r="55">
          <cell r="A55" t="str">
            <v>KF1</v>
          </cell>
        </row>
        <row r="56">
          <cell r="A56" t="str">
            <v>KG</v>
          </cell>
        </row>
        <row r="57">
          <cell r="A57" t="str">
            <v>KH</v>
          </cell>
        </row>
        <row r="58">
          <cell r="A58" t="str">
            <v>KN</v>
          </cell>
        </row>
        <row r="59">
          <cell r="A59" t="str">
            <v>KNB</v>
          </cell>
        </row>
        <row r="60">
          <cell r="A60" t="str">
            <v>KSA</v>
          </cell>
        </row>
        <row r="61">
          <cell r="A61" t="str">
            <v>KSB</v>
          </cell>
        </row>
        <row r="62">
          <cell r="A62" t="str">
            <v>LA1</v>
          </cell>
        </row>
        <row r="63">
          <cell r="A63" t="str">
            <v>LC</v>
          </cell>
        </row>
        <row r="64">
          <cell r="A64" t="str">
            <v>LD</v>
          </cell>
        </row>
        <row r="65">
          <cell r="A65" t="str">
            <v>QT</v>
          </cell>
        </row>
        <row r="66">
          <cell r="A66" t="str">
            <v>QU</v>
          </cell>
        </row>
        <row r="67">
          <cell r="A67" t="str">
            <v>QU2</v>
          </cell>
        </row>
        <row r="68">
          <cell r="A68" t="str">
            <v>QY</v>
          </cell>
        </row>
        <row r="69">
          <cell r="A69" t="str">
            <v>RLA</v>
          </cell>
        </row>
        <row r="70">
          <cell r="A70" t="str">
            <v>SC</v>
          </cell>
        </row>
        <row r="71">
          <cell r="A71" t="str">
            <v>SF</v>
          </cell>
        </row>
        <row r="72">
          <cell r="A72" t="str">
            <v>SF</v>
          </cell>
        </row>
        <row r="73">
          <cell r="A73" t="str">
            <v>SP</v>
          </cell>
        </row>
        <row r="74">
          <cell r="A74" t="str">
            <v>SP(JP)</v>
          </cell>
        </row>
        <row r="75">
          <cell r="A75" t="str">
            <v>SP1</v>
          </cell>
        </row>
        <row r="76">
          <cell r="A76" t="str">
            <v>SQ</v>
          </cell>
        </row>
        <row r="77">
          <cell r="A77" t="str">
            <v>VB2</v>
          </cell>
        </row>
        <row r="78">
          <cell r="A78" t="str">
            <v>VB3</v>
          </cell>
        </row>
        <row r="79">
          <cell r="A79" t="str">
            <v>WM1</v>
          </cell>
        </row>
        <row r="80">
          <cell r="A80" t="str">
            <v>WR3</v>
          </cell>
        </row>
        <row r="81">
          <cell r="A81" t="str">
            <v>YA</v>
          </cell>
        </row>
        <row r="82">
          <cell r="A82" t="str">
            <v>YAA</v>
          </cell>
        </row>
        <row r="83">
          <cell r="A83" t="str">
            <v>YAB</v>
          </cell>
        </row>
        <row r="84">
          <cell r="A84" t="str">
            <v>YAC</v>
          </cell>
        </row>
        <row r="85">
          <cell r="A85" t="str">
            <v>YAD</v>
          </cell>
        </row>
        <row r="86">
          <cell r="A86" t="str">
            <v>YAF</v>
          </cell>
        </row>
        <row r="87">
          <cell r="A87" t="str">
            <v>YAG</v>
          </cell>
        </row>
        <row r="88">
          <cell r="A88" t="str">
            <v>YAH</v>
          </cell>
        </row>
        <row r="89">
          <cell r="A89" t="str">
            <v>YAI</v>
          </cell>
        </row>
        <row r="90">
          <cell r="A90" t="str">
            <v>YAJ</v>
          </cell>
        </row>
        <row r="91">
          <cell r="A91" t="str">
            <v>YAK</v>
          </cell>
        </row>
        <row r="92">
          <cell r="A92" t="str">
            <v>YB</v>
          </cell>
        </row>
        <row r="93">
          <cell r="A93" t="str">
            <v>YC</v>
          </cell>
        </row>
        <row r="94">
          <cell r="A94" t="str">
            <v>YM</v>
          </cell>
        </row>
        <row r="95">
          <cell r="A95">
            <v>99</v>
          </cell>
        </row>
        <row r="96">
          <cell r="A96" t="str">
            <v>PE</v>
          </cell>
        </row>
        <row r="97">
          <cell r="A97" t="str">
            <v>DWA</v>
          </cell>
        </row>
        <row r="98">
          <cell r="A98" t="str">
            <v>DWA</v>
          </cell>
        </row>
        <row r="99">
          <cell r="A99" t="str">
            <v>DWB</v>
          </cell>
        </row>
        <row r="100">
          <cell r="A100" t="str">
            <v>DWC</v>
          </cell>
        </row>
        <row r="101">
          <cell r="A101" t="str">
            <v>DWE</v>
          </cell>
        </row>
        <row r="102">
          <cell r="A102" t="str">
            <v>DWF</v>
          </cell>
        </row>
        <row r="103">
          <cell r="A103" t="str">
            <v>CK</v>
          </cell>
        </row>
        <row r="104">
          <cell r="A104" t="str">
            <v>DG</v>
          </cell>
        </row>
        <row r="105">
          <cell r="A105" t="str">
            <v>DN</v>
          </cell>
        </row>
        <row r="106">
          <cell r="A106" t="str">
            <v>DVA</v>
          </cell>
        </row>
        <row r="107">
          <cell r="A107" t="str">
            <v>DVB</v>
          </cell>
        </row>
        <row r="108">
          <cell r="A108" t="str">
            <v>MA</v>
          </cell>
        </row>
        <row r="109">
          <cell r="A109" t="str">
            <v>MA1</v>
          </cell>
        </row>
        <row r="110">
          <cell r="A110" t="str">
            <v>MEa-m</v>
          </cell>
        </row>
        <row r="111">
          <cell r="A111" t="str">
            <v>MM</v>
          </cell>
        </row>
        <row r="112">
          <cell r="A112" t="str">
            <v>MN</v>
          </cell>
        </row>
        <row r="113">
          <cell r="A113" t="str">
            <v>NA</v>
          </cell>
        </row>
        <row r="114">
          <cell r="A114" t="str">
            <v>PA</v>
          </cell>
        </row>
        <row r="115">
          <cell r="A115" t="str">
            <v>PB</v>
          </cell>
        </row>
        <row r="116">
          <cell r="A116" t="str">
            <v>PC</v>
          </cell>
        </row>
        <row r="117">
          <cell r="A117" t="str">
            <v>PD</v>
          </cell>
        </row>
        <row r="118">
          <cell r="A118" t="str">
            <v>PF</v>
          </cell>
        </row>
        <row r="119">
          <cell r="A119" t="str">
            <v>PG</v>
          </cell>
        </row>
        <row r="120">
          <cell r="A120" t="str">
            <v>PH</v>
          </cell>
        </row>
        <row r="121">
          <cell r="A121" t="str">
            <v>PI</v>
          </cell>
        </row>
        <row r="122">
          <cell r="A122" t="str">
            <v>PJ</v>
          </cell>
        </row>
        <row r="123">
          <cell r="A123" t="str">
            <v>PK</v>
          </cell>
        </row>
        <row r="124">
          <cell r="A124" t="str">
            <v>PL</v>
          </cell>
        </row>
        <row r="125">
          <cell r="A125" t="str">
            <v>PM</v>
          </cell>
        </row>
        <row r="126">
          <cell r="A126" t="str">
            <v>PN</v>
          </cell>
        </row>
        <row r="127">
          <cell r="A127" t="str">
            <v>PO</v>
          </cell>
        </row>
        <row r="128">
          <cell r="A128" t="str">
            <v>PP</v>
          </cell>
        </row>
        <row r="129">
          <cell r="A129" t="str">
            <v>PQ</v>
          </cell>
        </row>
        <row r="130">
          <cell r="A130" t="str">
            <v>PR</v>
          </cell>
        </row>
        <row r="131">
          <cell r="A131" t="str">
            <v>PT</v>
          </cell>
        </row>
        <row r="132">
          <cell r="A132" t="str">
            <v>PU</v>
          </cell>
        </row>
        <row r="133">
          <cell r="A133" t="str">
            <v>PV</v>
          </cell>
        </row>
        <row r="134">
          <cell r="A134" t="str">
            <v>PW</v>
          </cell>
        </row>
        <row r="135">
          <cell r="A135" t="str">
            <v>PY</v>
          </cell>
        </row>
        <row r="136">
          <cell r="A136" t="str">
            <v>PZ</v>
          </cell>
        </row>
        <row r="137">
          <cell r="A137" t="str">
            <v>FA</v>
          </cell>
        </row>
        <row r="138">
          <cell r="A138" t="str">
            <v>FD</v>
          </cell>
        </row>
        <row r="139">
          <cell r="A139" t="str">
            <v>GWA</v>
          </cell>
        </row>
        <row r="140">
          <cell r="A140" t="str">
            <v>GX</v>
          </cell>
        </row>
        <row r="141">
          <cell r="A141" t="str">
            <v>GY</v>
          </cell>
        </row>
        <row r="142">
          <cell r="A142" t="str">
            <v>VQ</v>
          </cell>
        </row>
        <row r="143">
          <cell r="A143" t="str">
            <v>VSY</v>
          </cell>
        </row>
        <row r="144">
          <cell r="A144" t="str">
            <v>XJ</v>
          </cell>
        </row>
        <row r="145">
          <cell r="A145" t="str">
            <v>XK</v>
          </cell>
        </row>
        <row r="146">
          <cell r="A146" t="str">
            <v>XL</v>
          </cell>
        </row>
        <row r="147">
          <cell r="A147" t="str">
            <v>DE</v>
          </cell>
        </row>
        <row r="148">
          <cell r="A148" t="str">
            <v>ND</v>
          </cell>
        </row>
        <row r="149">
          <cell r="A149" t="str">
            <v>CG</v>
          </cell>
        </row>
        <row r="150">
          <cell r="A150" t="str">
            <v>CN</v>
          </cell>
        </row>
        <row r="151">
          <cell r="A151" t="str">
            <v>CY</v>
          </cell>
        </row>
        <row r="152">
          <cell r="A152" t="str">
            <v>CY</v>
          </cell>
        </row>
        <row r="153">
          <cell r="A153" t="str">
            <v>QQ</v>
          </cell>
        </row>
        <row r="154">
          <cell r="A154" t="str">
            <v>BN</v>
          </cell>
        </row>
        <row r="155">
          <cell r="A155" t="str">
            <v>CH</v>
          </cell>
        </row>
        <row r="156">
          <cell r="A156" t="str">
            <v>CH</v>
          </cell>
        </row>
        <row r="157">
          <cell r="A157" t="str">
            <v>CH</v>
          </cell>
        </row>
        <row r="158">
          <cell r="A158" t="str">
            <v>CH</v>
          </cell>
        </row>
        <row r="159">
          <cell r="A159" t="str">
            <v>DX</v>
          </cell>
        </row>
        <row r="160">
          <cell r="A160" t="str">
            <v>FA</v>
          </cell>
        </row>
        <row r="161">
          <cell r="A161" t="str">
            <v>JMA</v>
          </cell>
        </row>
        <row r="162">
          <cell r="A162" t="str">
            <v>JMB</v>
          </cell>
        </row>
        <row r="163">
          <cell r="A163" t="str">
            <v>JMC</v>
          </cell>
        </row>
        <row r="164">
          <cell r="A164" t="str">
            <v>JMD</v>
          </cell>
        </row>
        <row r="165">
          <cell r="A165" t="str">
            <v>JME</v>
          </cell>
        </row>
        <row r="166">
          <cell r="A166" t="str">
            <v>JMF</v>
          </cell>
        </row>
        <row r="167">
          <cell r="A167" t="str">
            <v>JMG</v>
          </cell>
        </row>
        <row r="168">
          <cell r="A168" t="str">
            <v>VY</v>
          </cell>
        </row>
        <row r="169">
          <cell r="A169">
            <v>99</v>
          </cell>
        </row>
        <row r="170">
          <cell r="A170" t="str">
            <v>SI</v>
          </cell>
        </row>
        <row r="171">
          <cell r="A171" t="str">
            <v>DWD</v>
          </cell>
        </row>
        <row r="172">
          <cell r="A172" t="str">
            <v>LF</v>
          </cell>
        </row>
        <row r="173">
          <cell r="A173" t="str">
            <v>LG</v>
          </cell>
        </row>
        <row r="174">
          <cell r="A174" t="str">
            <v>MA3</v>
          </cell>
        </row>
        <row r="175">
          <cell r="A175" t="str">
            <v>KZ</v>
          </cell>
        </row>
        <row r="176">
          <cell r="A176" t="str">
            <v>GJ</v>
          </cell>
        </row>
        <row r="177">
          <cell r="A177" t="str">
            <v>GJ1</v>
          </cell>
        </row>
        <row r="178">
          <cell r="A178" t="str">
            <v>GJ2</v>
          </cell>
        </row>
        <row r="179">
          <cell r="A179" t="str">
            <v>GJ3</v>
          </cell>
        </row>
        <row r="180">
          <cell r="A180" t="str">
            <v>QB</v>
          </cell>
        </row>
        <row r="181">
          <cell r="A181" t="str">
            <v>QC</v>
          </cell>
        </row>
        <row r="182">
          <cell r="A182" t="str">
            <v>QX</v>
          </cell>
        </row>
        <row r="183">
          <cell r="A183" t="str">
            <v>EF</v>
          </cell>
        </row>
        <row r="184">
          <cell r="A184" t="str">
            <v>EL</v>
          </cell>
        </row>
        <row r="185">
          <cell r="A185" t="str">
            <v>QV</v>
          </cell>
        </row>
        <row r="186">
          <cell r="A186" t="str">
            <v>DZ</v>
          </cell>
        </row>
        <row r="187">
          <cell r="A187" t="str">
            <v>CA</v>
          </cell>
        </row>
        <row r="188">
          <cell r="A188" t="str">
            <v>QE</v>
          </cell>
        </row>
        <row r="189">
          <cell r="A189" t="str">
            <v>QN</v>
          </cell>
        </row>
        <row r="190">
          <cell r="A190" t="str">
            <v>QNU</v>
          </cell>
        </row>
        <row r="191">
          <cell r="A191" t="str">
            <v>KBZ</v>
          </cell>
        </row>
        <row r="192">
          <cell r="A192" t="str">
            <v>DZ</v>
          </cell>
        </row>
        <row r="193">
          <cell r="A193" t="str">
            <v>GJ</v>
          </cell>
        </row>
        <row r="194">
          <cell r="A194" t="str">
            <v>SCNO</v>
          </cell>
        </row>
        <row r="195">
          <cell r="A195" t="str">
            <v>SCSO</v>
          </cell>
        </row>
        <row r="196">
          <cell r="A196" t="str">
            <v>RBA</v>
          </cell>
        </row>
        <row r="197">
          <cell r="A197" t="str">
            <v>RBC</v>
          </cell>
        </row>
        <row r="198">
          <cell r="A198" t="str">
            <v>RFA</v>
          </cell>
        </row>
        <row r="199">
          <cell r="A199" t="str">
            <v>RW</v>
          </cell>
        </row>
        <row r="200">
          <cell r="A200" t="str">
            <v>RY</v>
          </cell>
        </row>
        <row r="201">
          <cell r="A201" t="str">
            <v>JY</v>
          </cell>
        </row>
        <row r="202">
          <cell r="A202" t="str">
            <v>BD</v>
          </cell>
        </row>
        <row r="203">
          <cell r="A203" t="str">
            <v>MA2</v>
          </cell>
        </row>
        <row r="204">
          <cell r="A204" t="str">
            <v>ZRA</v>
          </cell>
        </row>
        <row r="205">
          <cell r="A205" t="str">
            <v>ZRH</v>
          </cell>
        </row>
        <row r="206">
          <cell r="A206" t="str">
            <v>AI</v>
          </cell>
        </row>
        <row r="207">
          <cell r="A207" t="str">
            <v>GT1</v>
          </cell>
        </row>
        <row r="208">
          <cell r="A208" t="str">
            <v>ZRC</v>
          </cell>
        </row>
        <row r="209">
          <cell r="A209" t="str">
            <v>AJ</v>
          </cell>
        </row>
        <row r="210">
          <cell r="A210" t="str">
            <v>QI</v>
          </cell>
        </row>
        <row r="211">
          <cell r="A211" t="str">
            <v>WF</v>
          </cell>
        </row>
        <row r="212">
          <cell r="A212" t="str">
            <v>ZDA</v>
          </cell>
        </row>
        <row r="213">
          <cell r="A213" t="str">
            <v>ZRL</v>
          </cell>
        </row>
        <row r="214">
          <cell r="A214" t="str">
            <v>MA4</v>
          </cell>
        </row>
        <row r="215">
          <cell r="A215" t="str">
            <v>ZZM</v>
          </cell>
        </row>
        <row r="216">
          <cell r="A216" t="str">
            <v>QP</v>
          </cell>
        </row>
        <row r="217">
          <cell r="A217" t="str">
            <v>VV</v>
          </cell>
        </row>
        <row r="218">
          <cell r="A218" t="str">
            <v>XA</v>
          </cell>
        </row>
        <row r="219">
          <cell r="A219" t="str">
            <v>ZV</v>
          </cell>
        </row>
      </sheetData>
      <sheetData sheetId="7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注意事項"/>
      <sheetName val="日次進捗"/>
      <sheetName val="品管図作成入力ｼｰﾄ"/>
      <sheetName val="進捗サマリ"/>
      <sheetName val="遅れ一覧"/>
      <sheetName val="品質管理図_線対簿"/>
      <sheetName val="ﾊﾞｸﾞtbl"/>
      <sheetName val="未解決tbl"/>
      <sheetName val="解決tbl"/>
      <sheetName val="問題tbl"/>
      <sheetName val="parameter1"/>
      <sheetName val="予定tbl"/>
      <sheetName val="実績tbl"/>
      <sheetName val="logsheet"/>
      <sheetName val="Last Sheet"/>
    </sheetNames>
    <sheetDataSet>
      <sheetData sheetId="0" refreshError="1"/>
      <sheetData sheetId="1">
        <row r="1">
          <cell r="I1" t="str">
            <v>線対簿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試験報告書"/>
      <sheetName val="添付資料"/>
      <sheetName val="IT1234報告"/>
      <sheetName val="IT1234(確認事項)"/>
      <sheetName val="P工程頭1216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ピボットねた"/>
      <sheetName val="【都度作成】　本番+検証"/>
      <sheetName val="ピボット結果（有賀さん）"/>
      <sheetName val="←参考（ピボット）"/>
      <sheetName val="abs1.0コスト（サマリ）"/>
      <sheetName val="abs1.0コスト（明細）"/>
      <sheetName val="【1-8】コスト積上"/>
      <sheetName val="グラフ"/>
      <sheetName val="コスト積上中間表"/>
      <sheetName val="コスト試算（有賀さん）"/>
      <sheetName val="見積サマリ"/>
      <sheetName val="個別機能毎のコスト"/>
      <sheetName val="製品情報"/>
      <sheetName val="【1-8】初期見積(本番)"/>
      <sheetName val="【1-8】初期見積 (検証)"/>
      <sheetName val="サービスコスト集計"/>
      <sheetName val="増設詳細"/>
      <sheetName val="【1-8】初期見積 (比較)"/>
      <sheetName val="【1-8】初期見積 (orig)"/>
      <sheetName val="【1-8】コスト配分(重み)"/>
      <sheetName val="【1-8】コスト配分(金額)"/>
      <sheetName val="【1-8】増設見積A"/>
      <sheetName val="【1-8】増設見積B"/>
      <sheetName val="【1-8】増設見積C"/>
      <sheetName val="【1-8】増設見積D"/>
      <sheetName val="リストマスタ"/>
      <sheetName val="優先度・深さ反映中間表"/>
      <sheetName val="ファシリティ"/>
      <sheetName val="調達方針"/>
      <sheetName val="20111011ステアリング"/>
      <sheetName val="削減計画"/>
      <sheetName val="森本専用"/>
      <sheetName val="【1-8】初期見積(本番)-1年後NW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5">
          <cell r="L5" t="str">
            <v>A（1/8）</v>
          </cell>
          <cell r="M5">
            <v>5284104</v>
          </cell>
          <cell r="N5">
            <v>23351682.418604653</v>
          </cell>
          <cell r="O5">
            <v>0</v>
          </cell>
          <cell r="P5">
            <v>5974380</v>
          </cell>
          <cell r="Q5">
            <v>33197134.376470584</v>
          </cell>
          <cell r="R5">
            <v>0</v>
          </cell>
          <cell r="S5">
            <v>4000000</v>
          </cell>
          <cell r="T5">
            <v>2958223.2276075501</v>
          </cell>
          <cell r="U5">
            <v>0</v>
          </cell>
          <cell r="V5">
            <v>325800</v>
          </cell>
          <cell r="W5">
            <v>5044895.9999999991</v>
          </cell>
          <cell r="X5">
            <v>0</v>
          </cell>
          <cell r="Y5">
            <v>4584600</v>
          </cell>
          <cell r="Z5">
            <v>1695437.9554378379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1067760</v>
          </cell>
          <cell r="AF5">
            <v>896400.00000000012</v>
          </cell>
          <cell r="AG5">
            <v>0</v>
          </cell>
          <cell r="AH5">
            <v>0</v>
          </cell>
          <cell r="AI5">
            <v>1737846.6040864864</v>
          </cell>
          <cell r="AJ5">
            <v>0</v>
          </cell>
          <cell r="AK5">
            <v>0</v>
          </cell>
        </row>
        <row r="6">
          <cell r="L6" t="str">
            <v>B（1/8+1/4）</v>
          </cell>
          <cell r="M6">
            <v>5284104</v>
          </cell>
          <cell r="N6">
            <v>54489704.523867816</v>
          </cell>
          <cell r="O6">
            <v>0</v>
          </cell>
          <cell r="P6">
            <v>5974380</v>
          </cell>
          <cell r="Q6">
            <v>38597878.376470581</v>
          </cell>
          <cell r="R6">
            <v>0</v>
          </cell>
          <cell r="S6">
            <v>4000000</v>
          </cell>
          <cell r="T6">
            <v>5210495.5623702733</v>
          </cell>
          <cell r="U6">
            <v>0</v>
          </cell>
          <cell r="V6">
            <v>325800</v>
          </cell>
          <cell r="W6">
            <v>8833633.4842105247</v>
          </cell>
          <cell r="X6">
            <v>0</v>
          </cell>
          <cell r="Y6">
            <v>4584600</v>
          </cell>
          <cell r="Z6">
            <v>2686781.9554378381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1067760</v>
          </cell>
          <cell r="AF6">
            <v>4794892.3160715792</v>
          </cell>
          <cell r="AG6">
            <v>0</v>
          </cell>
          <cell r="AH6">
            <v>0</v>
          </cell>
          <cell r="AI6">
            <v>2818006.6040864866</v>
          </cell>
          <cell r="AJ6">
            <v>0</v>
          </cell>
          <cell r="AK6">
            <v>0</v>
          </cell>
        </row>
        <row r="7">
          <cell r="L7" t="str">
            <v>C（1/8+1/4+1/2）</v>
          </cell>
          <cell r="M7">
            <v>19636240</v>
          </cell>
          <cell r="N7">
            <v>59769454.523867816</v>
          </cell>
          <cell r="O7">
            <v>0</v>
          </cell>
          <cell r="P7">
            <v>5974380</v>
          </cell>
          <cell r="Q7">
            <v>38597878.376470581</v>
          </cell>
          <cell r="R7">
            <v>0</v>
          </cell>
          <cell r="S7">
            <v>7400000</v>
          </cell>
          <cell r="T7">
            <v>5532523.8523737574</v>
          </cell>
          <cell r="U7">
            <v>0</v>
          </cell>
          <cell r="V7">
            <v>2435512</v>
          </cell>
          <cell r="W7">
            <v>8849833.4842105247</v>
          </cell>
          <cell r="X7">
            <v>0</v>
          </cell>
          <cell r="Y7">
            <v>4584600</v>
          </cell>
          <cell r="Z7">
            <v>2686781.9554378381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4163152</v>
          </cell>
          <cell r="AF7">
            <v>4811092.3160715792</v>
          </cell>
          <cell r="AG7">
            <v>0</v>
          </cell>
          <cell r="AH7">
            <v>0</v>
          </cell>
          <cell r="AI7">
            <v>2818006.6040864866</v>
          </cell>
          <cell r="AJ7">
            <v>0</v>
          </cell>
          <cell r="AK7">
            <v>0</v>
          </cell>
        </row>
        <row r="8">
          <cell r="L8" t="str">
            <v>D（1/8+1/4+1/2+1/1）</v>
          </cell>
          <cell r="M8">
            <v>33009836</v>
          </cell>
          <cell r="N8">
            <v>70457966.523867816</v>
          </cell>
          <cell r="O8">
            <v>0</v>
          </cell>
          <cell r="P8">
            <v>7515730</v>
          </cell>
          <cell r="Q8">
            <v>39711900.376470581</v>
          </cell>
          <cell r="R8">
            <v>50756864</v>
          </cell>
          <cell r="S8">
            <v>14500000</v>
          </cell>
          <cell r="T8">
            <v>9754191.6338665038</v>
          </cell>
          <cell r="U8">
            <v>0</v>
          </cell>
          <cell r="V8">
            <v>5573232</v>
          </cell>
          <cell r="W8">
            <v>9240660.6442105249</v>
          </cell>
          <cell r="X8">
            <v>0</v>
          </cell>
          <cell r="Y8">
            <v>5694100</v>
          </cell>
          <cell r="Z8">
            <v>2894477.0905729732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7889322</v>
          </cell>
          <cell r="AF8">
            <v>5209555.0755315796</v>
          </cell>
          <cell r="AG8">
            <v>0</v>
          </cell>
          <cell r="AH8">
            <v>30000</v>
          </cell>
          <cell r="AI8">
            <v>3041001.1986810812</v>
          </cell>
          <cell r="AJ8">
            <v>761880</v>
          </cell>
          <cell r="AK8">
            <v>0</v>
          </cell>
        </row>
        <row r="9">
          <cell r="L9" t="str">
            <v>初期（1/8+1/4+1/2+1/1+全体）</v>
          </cell>
          <cell r="M9">
            <v>39681684</v>
          </cell>
          <cell r="N9">
            <v>94320966.95348838</v>
          </cell>
          <cell r="O9">
            <v>0</v>
          </cell>
          <cell r="P9">
            <v>130094380</v>
          </cell>
          <cell r="Q9">
            <v>93708153</v>
          </cell>
          <cell r="R9">
            <v>50756864</v>
          </cell>
          <cell r="S9">
            <v>122500000</v>
          </cell>
          <cell r="T9">
            <v>79814499.999999955</v>
          </cell>
          <cell r="U9">
            <v>292727000</v>
          </cell>
          <cell r="V9">
            <v>6540816</v>
          </cell>
          <cell r="W9">
            <v>11929553.959999999</v>
          </cell>
          <cell r="X9">
            <v>0</v>
          </cell>
          <cell r="Y9">
            <v>4614600</v>
          </cell>
          <cell r="Z9">
            <v>5519253.8473297302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9894226</v>
          </cell>
          <cell r="AF9">
            <v>5917653.9112999998</v>
          </cell>
          <cell r="AG9">
            <v>0</v>
          </cell>
          <cell r="AH9">
            <v>30000</v>
          </cell>
          <cell r="AI9">
            <v>17292193.928410813</v>
          </cell>
          <cell r="AJ9">
            <v>761880</v>
          </cell>
          <cell r="AK9">
            <v>7500000</v>
          </cell>
        </row>
      </sheetData>
      <sheetData sheetId="9"/>
      <sheetData sheetId="10"/>
      <sheetData sheetId="11"/>
      <sheetData sheetId="12">
        <row r="2">
          <cell r="B2" t="str">
            <v>＊＊＊この下に行を挿入して製品を追加し、製品名でソートしてください(No列は入力不要)＊＊＊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  <cell r="K2">
            <v>0</v>
          </cell>
          <cell r="L2">
            <v>0</v>
          </cell>
        </row>
        <row r="3">
          <cell r="B3" t="str">
            <v>10G-SFPP-AOC-2001</v>
          </cell>
          <cell r="C3" t="str">
            <v>NW</v>
          </cell>
          <cell r="D3" t="str">
            <v>Brocade</v>
          </cell>
          <cell r="E3" t="str">
            <v>HW</v>
          </cell>
          <cell r="F3" t="str">
            <v>N1 コアスイッチ</v>
          </cell>
          <cell r="G3">
            <v>200000</v>
          </cell>
          <cell r="H3">
            <v>100000</v>
          </cell>
          <cell r="I3">
            <v>40000</v>
          </cell>
          <cell r="J3">
            <v>32000</v>
          </cell>
          <cell r="K3">
            <v>40000</v>
          </cell>
          <cell r="L3">
            <v>32000</v>
          </cell>
        </row>
        <row r="4">
          <cell r="B4" t="str">
            <v>10G-SFPP-SR</v>
          </cell>
          <cell r="C4" t="str">
            <v>NW</v>
          </cell>
          <cell r="D4" t="str">
            <v>Brocade</v>
          </cell>
          <cell r="E4" t="str">
            <v>HW</v>
          </cell>
          <cell r="F4" t="str">
            <v>N1 コアスイッチ</v>
          </cell>
          <cell r="G4">
            <v>274000</v>
          </cell>
          <cell r="H4">
            <v>26404</v>
          </cell>
          <cell r="I4">
            <v>22800</v>
          </cell>
          <cell r="J4">
            <v>570</v>
          </cell>
          <cell r="K4">
            <v>33600</v>
          </cell>
          <cell r="L4">
            <v>840</v>
          </cell>
        </row>
        <row r="5">
          <cell r="B5" t="str">
            <v>10G-SFPP-SR-8</v>
          </cell>
          <cell r="C5" t="str">
            <v>NW</v>
          </cell>
          <cell r="D5" t="str">
            <v>Brocade</v>
          </cell>
          <cell r="E5" t="str">
            <v>HW</v>
          </cell>
          <cell r="F5" t="str">
            <v>N1 コアスイッチ</v>
          </cell>
          <cell r="G5">
            <v>1239000</v>
          </cell>
          <cell r="H5">
            <v>153900</v>
          </cell>
          <cell r="I5">
            <v>123900</v>
          </cell>
          <cell r="J5">
            <v>69384</v>
          </cell>
          <cell r="K5">
            <v>161070</v>
          </cell>
          <cell r="L5">
            <v>91809.9</v>
          </cell>
        </row>
        <row r="6">
          <cell r="B6" t="str">
            <v>10G-SFPP-TWX-0101</v>
          </cell>
          <cell r="C6" t="str">
            <v>NW</v>
          </cell>
          <cell r="D6" t="str">
            <v>Brocade</v>
          </cell>
          <cell r="E6" t="str">
            <v>HW</v>
          </cell>
          <cell r="F6" t="str">
            <v>N1 コアスイッチ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</row>
        <row r="7">
          <cell r="B7" t="str">
            <v>10G-SFPP-TWX-0301</v>
          </cell>
          <cell r="C7" t="str">
            <v>NW</v>
          </cell>
          <cell r="D7" t="str">
            <v>Brocade</v>
          </cell>
          <cell r="E7" t="str">
            <v>HW</v>
          </cell>
          <cell r="F7" t="str">
            <v>N1 コアスイッチ</v>
          </cell>
          <cell r="G7">
            <v>20000</v>
          </cell>
          <cell r="H7">
            <v>4700</v>
          </cell>
          <cell r="I7">
            <v>2000</v>
          </cell>
          <cell r="J7">
            <v>1120</v>
          </cell>
          <cell r="K7">
            <v>2600</v>
          </cell>
          <cell r="L7">
            <v>1481.9999999999998</v>
          </cell>
        </row>
        <row r="8">
          <cell r="B8" t="str">
            <v>10G-SFPP-TWX-0308</v>
          </cell>
          <cell r="C8" t="str">
            <v>NW</v>
          </cell>
          <cell r="D8" t="str">
            <v>Brocade</v>
          </cell>
          <cell r="E8" t="str">
            <v>HW</v>
          </cell>
          <cell r="F8" t="str">
            <v>N1 コアスイッチ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</row>
        <row r="9">
          <cell r="B9" t="str">
            <v>10G-SFPP-TWX-0501</v>
          </cell>
          <cell r="C9" t="str">
            <v>NW</v>
          </cell>
          <cell r="D9" t="str">
            <v>Brocade</v>
          </cell>
          <cell r="E9" t="str">
            <v>HW</v>
          </cell>
          <cell r="F9" t="str">
            <v>N1 コアスイッチ</v>
          </cell>
          <cell r="G9">
            <v>52000</v>
          </cell>
          <cell r="H9">
            <v>4968</v>
          </cell>
          <cell r="I9">
            <v>4800</v>
          </cell>
          <cell r="J9">
            <v>120</v>
          </cell>
          <cell r="K9">
            <v>7200</v>
          </cell>
          <cell r="L9">
            <v>180</v>
          </cell>
        </row>
        <row r="10">
          <cell r="B10" t="str">
            <v>10G-SFPP-TWX-0508</v>
          </cell>
          <cell r="C10" t="str">
            <v>NW</v>
          </cell>
          <cell r="D10" t="str">
            <v>Brocade</v>
          </cell>
          <cell r="E10" t="str">
            <v>HW</v>
          </cell>
          <cell r="F10" t="str">
            <v>N1 コアスイッチ</v>
          </cell>
          <cell r="G10">
            <v>172000</v>
          </cell>
          <cell r="H10">
            <v>41900</v>
          </cell>
          <cell r="I10">
            <v>17200</v>
          </cell>
          <cell r="J10">
            <v>9632.0000000000018</v>
          </cell>
          <cell r="K10">
            <v>22360</v>
          </cell>
          <cell r="L10">
            <v>12745.199999999999</v>
          </cell>
        </row>
        <row r="11">
          <cell r="B11" t="str">
            <v>ACCESS-100U-1YR</v>
          </cell>
          <cell r="C11" t="str">
            <v>NW</v>
          </cell>
          <cell r="D11" t="str">
            <v>Juniper</v>
          </cell>
          <cell r="E11" t="str">
            <v>HW</v>
          </cell>
          <cell r="F11" t="str">
            <v>N8 SSL-VPN</v>
          </cell>
          <cell r="G11">
            <v>2210000</v>
          </cell>
          <cell r="H11">
            <v>397800</v>
          </cell>
          <cell r="I11">
            <v>0</v>
          </cell>
          <cell r="J11">
            <v>0</v>
          </cell>
          <cell r="K11">
            <v>2210000</v>
          </cell>
          <cell r="L11">
            <v>397800</v>
          </cell>
        </row>
        <row r="12">
          <cell r="B12" t="str">
            <v>ACCESS-LICENSE-SVR</v>
          </cell>
          <cell r="C12" t="str">
            <v>NW</v>
          </cell>
          <cell r="D12" t="str">
            <v>Juniper</v>
          </cell>
          <cell r="E12" t="str">
            <v>HW</v>
          </cell>
          <cell r="F12" t="str">
            <v>N8 SSL-VPN</v>
          </cell>
          <cell r="G12">
            <v>950000</v>
          </cell>
          <cell r="H12">
            <v>104500</v>
          </cell>
          <cell r="I12">
            <v>222000</v>
          </cell>
          <cell r="J12">
            <v>133200</v>
          </cell>
          <cell r="K12">
            <v>266400</v>
          </cell>
          <cell r="L12">
            <v>159840</v>
          </cell>
        </row>
        <row r="13">
          <cell r="B13" t="str">
            <v>ASA 5550-BUN-9(5context)</v>
          </cell>
          <cell r="C13" t="str">
            <v>NW</v>
          </cell>
          <cell r="D13" t="str">
            <v>Cisco</v>
          </cell>
          <cell r="E13" t="str">
            <v>HW</v>
          </cell>
          <cell r="F13" t="str">
            <v>N4 高機能ファイアウォール</v>
          </cell>
          <cell r="G13">
            <v>3858000</v>
          </cell>
          <cell r="H13">
            <v>1929000</v>
          </cell>
          <cell r="I13">
            <v>771600</v>
          </cell>
          <cell r="J13">
            <v>617280</v>
          </cell>
          <cell r="K13">
            <v>771600</v>
          </cell>
          <cell r="L13">
            <v>617280</v>
          </cell>
        </row>
        <row r="14">
          <cell r="B14" t="str">
            <v>ASA 5550-BUN-9(デフォルトコンテキスト)</v>
          </cell>
          <cell r="C14" t="str">
            <v>NW</v>
          </cell>
          <cell r="D14" t="str">
            <v>Cisco</v>
          </cell>
          <cell r="E14" t="str">
            <v>HW</v>
          </cell>
          <cell r="F14" t="str">
            <v>N4 高機能ファイアウォール</v>
          </cell>
          <cell r="G14">
            <v>3249000</v>
          </cell>
          <cell r="H14">
            <v>1624500</v>
          </cell>
          <cell r="I14">
            <v>649800</v>
          </cell>
          <cell r="J14">
            <v>519840</v>
          </cell>
          <cell r="K14">
            <v>649800</v>
          </cell>
          <cell r="L14">
            <v>519840</v>
          </cell>
        </row>
        <row r="15">
          <cell r="B15" t="str">
            <v>ASA5500-SC-5=</v>
          </cell>
          <cell r="C15" t="str">
            <v>NW</v>
          </cell>
          <cell r="D15" t="str">
            <v>Cisco</v>
          </cell>
          <cell r="E15" t="str">
            <v>HW</v>
          </cell>
          <cell r="F15" t="str">
            <v>N4 高機能ファイアウォール</v>
          </cell>
          <cell r="G15">
            <v>609000</v>
          </cell>
          <cell r="H15">
            <v>304500</v>
          </cell>
          <cell r="I15">
            <v>121800</v>
          </cell>
          <cell r="J15">
            <v>97440</v>
          </cell>
          <cell r="K15">
            <v>121800</v>
          </cell>
          <cell r="L15">
            <v>97440</v>
          </cell>
        </row>
        <row r="16">
          <cell r="B16" t="str">
            <v>avocent virtual serial console 48port</v>
          </cell>
          <cell r="C16" t="str">
            <v>NW</v>
          </cell>
          <cell r="D16" t="str">
            <v>avocent</v>
          </cell>
          <cell r="E16" t="str">
            <v>SW</v>
          </cell>
          <cell r="F16" t="str">
            <v>N12 仮想シリアルコンソール</v>
          </cell>
          <cell r="G16">
            <v>960000</v>
          </cell>
          <cell r="H16">
            <v>625000</v>
          </cell>
          <cell r="I16">
            <v>84000</v>
          </cell>
          <cell r="J16">
            <v>84000</v>
          </cell>
          <cell r="K16">
            <v>84000</v>
          </cell>
          <cell r="L16">
            <v>84000</v>
          </cell>
        </row>
        <row r="17">
          <cell r="B17" t="str">
            <v>Brocade Network Advisor</v>
          </cell>
          <cell r="C17" t="str">
            <v>NW</v>
          </cell>
          <cell r="D17" t="str">
            <v>Brocade</v>
          </cell>
          <cell r="E17" t="str">
            <v>SW</v>
          </cell>
          <cell r="F17" t="str">
            <v>N1 コアスイッチ</v>
          </cell>
          <cell r="G17">
            <v>4000000</v>
          </cell>
          <cell r="H17">
            <v>4000000</v>
          </cell>
          <cell r="I17">
            <v>800000</v>
          </cell>
          <cell r="J17">
            <v>800000</v>
          </cell>
          <cell r="K17">
            <v>200000</v>
          </cell>
          <cell r="L17">
            <v>200000</v>
          </cell>
        </row>
        <row r="18">
          <cell r="B18" t="str">
            <v>BR-VDX6720-24FCOE-01</v>
          </cell>
          <cell r="C18" t="str">
            <v>NW</v>
          </cell>
          <cell r="D18" t="str">
            <v>Brocade</v>
          </cell>
          <cell r="E18" t="str">
            <v>HW</v>
          </cell>
          <cell r="F18" t="str">
            <v>N1 コアスイッチ</v>
          </cell>
          <cell r="G18">
            <v>1340000</v>
          </cell>
          <cell r="H18">
            <v>208840</v>
          </cell>
          <cell r="I18">
            <v>108000</v>
          </cell>
          <cell r="J18">
            <v>13500</v>
          </cell>
          <cell r="K18">
            <v>160800</v>
          </cell>
          <cell r="L18">
            <v>40200</v>
          </cell>
        </row>
        <row r="19">
          <cell r="B19" t="str">
            <v>BR-VDX6720-24-R</v>
          </cell>
          <cell r="C19" t="str">
            <v>NW</v>
          </cell>
          <cell r="D19" t="str">
            <v>Brocade</v>
          </cell>
          <cell r="E19" t="str">
            <v>HW</v>
          </cell>
          <cell r="F19" t="str">
            <v>N1 コアスイッチ</v>
          </cell>
          <cell r="G19">
            <v>3259000</v>
          </cell>
          <cell r="H19">
            <v>448960</v>
          </cell>
          <cell r="I19">
            <v>261600</v>
          </cell>
          <cell r="J19">
            <v>32700</v>
          </cell>
          <cell r="K19">
            <v>391200</v>
          </cell>
          <cell r="L19">
            <v>48900</v>
          </cell>
        </row>
        <row r="20">
          <cell r="B20" t="str">
            <v>BR-VDX6720-24VCS-01</v>
          </cell>
          <cell r="C20" t="str">
            <v>NW</v>
          </cell>
          <cell r="D20" t="str">
            <v>Brocade</v>
          </cell>
          <cell r="E20" t="str">
            <v>HW</v>
          </cell>
          <cell r="F20" t="str">
            <v>N1 コアスイッチ</v>
          </cell>
          <cell r="G20">
            <v>693000</v>
          </cell>
          <cell r="H20">
            <v>107640</v>
          </cell>
          <cell r="I20">
            <v>56400</v>
          </cell>
          <cell r="J20">
            <v>7050</v>
          </cell>
          <cell r="K20">
            <v>84000</v>
          </cell>
          <cell r="L20">
            <v>21000</v>
          </cell>
        </row>
        <row r="21">
          <cell r="B21" t="str">
            <v>BR-VDX6720-40-R</v>
          </cell>
          <cell r="C21" t="str">
            <v>NW</v>
          </cell>
          <cell r="D21" t="str">
            <v>Brocade</v>
          </cell>
          <cell r="E21" t="str">
            <v>HW</v>
          </cell>
          <cell r="F21" t="str">
            <v>N1 コアスイッチ</v>
          </cell>
          <cell r="G21">
            <v>5444000</v>
          </cell>
          <cell r="H21">
            <v>750720</v>
          </cell>
          <cell r="I21">
            <v>435600</v>
          </cell>
          <cell r="J21">
            <v>54450</v>
          </cell>
          <cell r="K21">
            <v>654000</v>
          </cell>
          <cell r="L21">
            <v>81750</v>
          </cell>
        </row>
        <row r="22">
          <cell r="B22" t="str">
            <v>BR-VDX6720-60FCOE-01</v>
          </cell>
          <cell r="C22" t="str">
            <v>NW</v>
          </cell>
          <cell r="D22" t="str">
            <v>Brocade</v>
          </cell>
          <cell r="E22" t="str">
            <v>HW</v>
          </cell>
          <cell r="F22" t="str">
            <v>N1 コアスイッチ</v>
          </cell>
          <cell r="G22">
            <v>3350000</v>
          </cell>
          <cell r="H22">
            <v>523480</v>
          </cell>
          <cell r="I22">
            <v>268800</v>
          </cell>
          <cell r="J22">
            <v>33600</v>
          </cell>
          <cell r="K22">
            <v>402000</v>
          </cell>
          <cell r="L22">
            <v>100500</v>
          </cell>
        </row>
        <row r="23">
          <cell r="B23" t="str">
            <v>BR-VDX6720-60POD-01</v>
          </cell>
          <cell r="C23" t="str">
            <v>NW</v>
          </cell>
          <cell r="D23" t="str">
            <v>Brocade</v>
          </cell>
          <cell r="E23" t="str">
            <v>HW</v>
          </cell>
          <cell r="F23" t="str">
            <v>N1 コアスイッチ</v>
          </cell>
          <cell r="G23">
            <v>1425000</v>
          </cell>
          <cell r="H23">
            <v>222640</v>
          </cell>
          <cell r="I23">
            <v>114000</v>
          </cell>
          <cell r="J23">
            <v>14250</v>
          </cell>
          <cell r="K23">
            <v>171600</v>
          </cell>
          <cell r="L23">
            <v>42900</v>
          </cell>
        </row>
        <row r="24">
          <cell r="B24" t="str">
            <v>BR-VDX6720-60-R</v>
          </cell>
          <cell r="C24" t="str">
            <v>NW</v>
          </cell>
          <cell r="D24" t="str">
            <v>Brocade</v>
          </cell>
          <cell r="E24" t="str">
            <v>HW</v>
          </cell>
          <cell r="F24" t="str">
            <v>N1 コアスイッチ</v>
          </cell>
          <cell r="G24">
            <v>8024000</v>
          </cell>
          <cell r="H24">
            <v>1106760</v>
          </cell>
          <cell r="I24">
            <v>642000</v>
          </cell>
          <cell r="J24">
            <v>80250</v>
          </cell>
          <cell r="K24">
            <v>963600</v>
          </cell>
          <cell r="L24">
            <v>120375</v>
          </cell>
        </row>
        <row r="25">
          <cell r="B25" t="str">
            <v>BR-VDX6720-60VCS-01</v>
          </cell>
          <cell r="C25" t="str">
            <v>NW</v>
          </cell>
          <cell r="D25" t="str">
            <v>Brocade</v>
          </cell>
          <cell r="E25" t="str">
            <v>HW</v>
          </cell>
          <cell r="F25" t="str">
            <v>N1 コアスイッチ</v>
          </cell>
          <cell r="G25">
            <v>1733000</v>
          </cell>
          <cell r="H25">
            <v>270480</v>
          </cell>
          <cell r="I25">
            <v>139200</v>
          </cell>
          <cell r="J25">
            <v>17400</v>
          </cell>
          <cell r="K25">
            <v>208800</v>
          </cell>
          <cell r="L25">
            <v>52200</v>
          </cell>
        </row>
        <row r="26">
          <cell r="B26" t="str">
            <v>BR-VDX6730-24FCOE-01</v>
          </cell>
          <cell r="C26" t="str">
            <v>NW</v>
          </cell>
          <cell r="D26" t="str">
            <v>Brocade</v>
          </cell>
          <cell r="E26" t="str">
            <v>HW</v>
          </cell>
          <cell r="F26" t="str">
            <v>N1 コアスイッチ</v>
          </cell>
          <cell r="G26">
            <v>1000000</v>
          </cell>
          <cell r="H26">
            <v>500000</v>
          </cell>
          <cell r="I26">
            <v>200000</v>
          </cell>
          <cell r="J26">
            <v>160000</v>
          </cell>
          <cell r="K26">
            <v>200000</v>
          </cell>
          <cell r="L26">
            <v>160000</v>
          </cell>
        </row>
        <row r="27">
          <cell r="B27" t="str">
            <v>BR-VDX6730-24-R</v>
          </cell>
          <cell r="C27" t="str">
            <v>NW</v>
          </cell>
          <cell r="D27" t="str">
            <v>Brocade</v>
          </cell>
          <cell r="E27" t="str">
            <v>HW</v>
          </cell>
          <cell r="F27" t="str">
            <v>N1 コアスイッチ</v>
          </cell>
          <cell r="G27">
            <v>2750000</v>
          </cell>
          <cell r="H27">
            <v>1375000</v>
          </cell>
          <cell r="I27">
            <v>550000</v>
          </cell>
          <cell r="J27">
            <v>440000</v>
          </cell>
          <cell r="K27">
            <v>550000</v>
          </cell>
          <cell r="L27">
            <v>440000</v>
          </cell>
        </row>
        <row r="28">
          <cell r="B28" t="str">
            <v>BR-VDX6730-24VCS-01</v>
          </cell>
          <cell r="C28" t="str">
            <v>NW</v>
          </cell>
          <cell r="D28" t="str">
            <v>Brocade</v>
          </cell>
          <cell r="E28" t="str">
            <v>HW</v>
          </cell>
          <cell r="F28" t="str">
            <v>N1 コアスイッチ</v>
          </cell>
          <cell r="G28">
            <v>500000</v>
          </cell>
          <cell r="H28">
            <v>250000</v>
          </cell>
          <cell r="I28">
            <v>100000</v>
          </cell>
          <cell r="J28">
            <v>80000</v>
          </cell>
          <cell r="K28">
            <v>100000</v>
          </cell>
          <cell r="L28">
            <v>80000</v>
          </cell>
        </row>
        <row r="29">
          <cell r="B29" t="str">
            <v>BR-VDX6730-60FCOE-01</v>
          </cell>
          <cell r="C29" t="str">
            <v>NW</v>
          </cell>
          <cell r="D29" t="str">
            <v>Brocade</v>
          </cell>
          <cell r="E29" t="str">
            <v>HW</v>
          </cell>
          <cell r="F29" t="str">
            <v>N1 コアスイッチ</v>
          </cell>
          <cell r="G29">
            <v>1917000</v>
          </cell>
          <cell r="H29">
            <v>527900</v>
          </cell>
          <cell r="I29">
            <v>420613</v>
          </cell>
          <cell r="J29">
            <v>246741</v>
          </cell>
          <cell r="K29">
            <v>420613</v>
          </cell>
          <cell r="L29">
            <v>279330</v>
          </cell>
        </row>
        <row r="30">
          <cell r="B30" t="str">
            <v>BR-VDX6730-60-R</v>
          </cell>
          <cell r="C30" t="str">
            <v>NW</v>
          </cell>
          <cell r="D30" t="str">
            <v>Brocade</v>
          </cell>
          <cell r="E30" t="str">
            <v>HW</v>
          </cell>
          <cell r="F30" t="str">
            <v>N1 コアスイッチ</v>
          </cell>
          <cell r="G30">
            <v>4427000</v>
          </cell>
          <cell r="H30">
            <v>1219600</v>
          </cell>
          <cell r="I30">
            <v>900000</v>
          </cell>
          <cell r="J30">
            <v>720000</v>
          </cell>
          <cell r="K30">
            <v>900000</v>
          </cell>
          <cell r="L30">
            <v>720000</v>
          </cell>
        </row>
        <row r="31">
          <cell r="B31" t="str">
            <v>BR-VDX6730-60VCS-01</v>
          </cell>
          <cell r="C31" t="str">
            <v>NW</v>
          </cell>
          <cell r="D31" t="str">
            <v>Brocade</v>
          </cell>
          <cell r="E31" t="str">
            <v>HW</v>
          </cell>
          <cell r="F31" t="str">
            <v>N1 コアスイッチ</v>
          </cell>
          <cell r="G31">
            <v>992000</v>
          </cell>
          <cell r="H31">
            <v>273100</v>
          </cell>
          <cell r="I31">
            <v>201424</v>
          </cell>
          <cell r="J31">
            <v>104955</v>
          </cell>
          <cell r="K31">
            <v>218288</v>
          </cell>
          <cell r="L31">
            <v>116423</v>
          </cell>
        </row>
        <row r="32">
          <cell r="B32" t="str">
            <v>CA eHealth Performance Manager</v>
          </cell>
          <cell r="C32" t="str">
            <v>CL</v>
          </cell>
          <cell r="D32" t="str">
            <v>CA</v>
          </cell>
          <cell r="E32" t="str">
            <v>SW</v>
          </cell>
          <cell r="F32" t="str">
            <v>M1 運用管理ツール</v>
          </cell>
          <cell r="G32">
            <v>44280</v>
          </cell>
          <cell r="H32">
            <v>2214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</row>
        <row r="33">
          <cell r="B33" t="str">
            <v>CA Server Automation Rapid Server Imaging</v>
          </cell>
          <cell r="C33" t="str">
            <v>CL</v>
          </cell>
          <cell r="D33" t="str">
            <v>CA</v>
          </cell>
          <cell r="E33" t="str">
            <v>SW</v>
          </cell>
          <cell r="F33" t="str">
            <v>M1 運用管理ツール</v>
          </cell>
          <cell r="G33">
            <v>108000</v>
          </cell>
          <cell r="H33">
            <v>54000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</row>
        <row r="34">
          <cell r="B34" t="str">
            <v>CA Service Desk Manager(CMDB) -Full License</v>
          </cell>
          <cell r="C34" t="str">
            <v>CL</v>
          </cell>
          <cell r="D34" t="str">
            <v>CA</v>
          </cell>
          <cell r="E34" t="str">
            <v>SW</v>
          </cell>
          <cell r="F34" t="str">
            <v>M1 運用管理ツール</v>
          </cell>
          <cell r="G34">
            <v>600000</v>
          </cell>
          <cell r="H34">
            <v>30000</v>
          </cell>
          <cell r="I34">
            <v>120000</v>
          </cell>
          <cell r="J34">
            <v>6000</v>
          </cell>
          <cell r="K34">
            <v>120000</v>
          </cell>
          <cell r="L34">
            <v>6000</v>
          </cell>
        </row>
        <row r="35">
          <cell r="B35" t="str">
            <v>CA Spectrum Infrastructure Manager</v>
          </cell>
          <cell r="C35" t="str">
            <v>CL</v>
          </cell>
          <cell r="D35" t="str">
            <v>CA</v>
          </cell>
          <cell r="E35" t="str">
            <v>SW</v>
          </cell>
          <cell r="F35" t="str">
            <v>M1 運用管理ツール</v>
          </cell>
          <cell r="G35">
            <v>44280</v>
          </cell>
          <cell r="H35">
            <v>2214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</row>
        <row r="36">
          <cell r="B36" t="str">
            <v>CA System Performance for Infrastructure Managers</v>
          </cell>
          <cell r="C36" t="str">
            <v>CL</v>
          </cell>
          <cell r="D36" t="str">
            <v>CA</v>
          </cell>
          <cell r="E36" t="str">
            <v>SW</v>
          </cell>
          <cell r="F36" t="str">
            <v>M1 運用管理ツール</v>
          </cell>
          <cell r="G36">
            <v>64800</v>
          </cell>
          <cell r="H36">
            <v>3240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</row>
        <row r="37">
          <cell r="B37" t="str">
            <v>CA Virtual Assurance for Infrastructure Managers</v>
          </cell>
          <cell r="C37" t="str">
            <v>CL</v>
          </cell>
          <cell r="D37" t="str">
            <v>CA</v>
          </cell>
          <cell r="E37" t="str">
            <v>SW</v>
          </cell>
          <cell r="F37" t="str">
            <v>M1 運用管理ツール</v>
          </cell>
          <cell r="G37">
            <v>108000</v>
          </cell>
          <cell r="H37">
            <v>5400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</row>
        <row r="38">
          <cell r="B38" t="str">
            <v>Cascade Appliance 10G SAK-10GA</v>
          </cell>
          <cell r="C38" t="str">
            <v>NW</v>
          </cell>
          <cell r="D38" t="str">
            <v>Cascade</v>
          </cell>
          <cell r="E38" t="str">
            <v>HW</v>
          </cell>
          <cell r="F38" t="str">
            <v>N10 パケットキャプチャ</v>
          </cell>
          <cell r="G38">
            <v>6500000</v>
          </cell>
          <cell r="H38">
            <v>5200000</v>
          </cell>
          <cell r="I38">
            <v>950000</v>
          </cell>
          <cell r="J38">
            <v>760000</v>
          </cell>
          <cell r="K38">
            <v>950000</v>
          </cell>
          <cell r="L38">
            <v>760000</v>
          </cell>
        </row>
        <row r="39">
          <cell r="B39" t="str">
            <v>Cascade 用 10GE-SR SFP</v>
          </cell>
          <cell r="C39" t="str">
            <v>NW</v>
          </cell>
          <cell r="D39" t="str">
            <v>Cascade</v>
          </cell>
          <cell r="E39" t="str">
            <v>HW</v>
          </cell>
          <cell r="F39" t="str">
            <v>N10 パケットキャプチャ</v>
          </cell>
          <cell r="G39">
            <v>72000</v>
          </cell>
          <cell r="H39">
            <v>57600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</row>
        <row r="40">
          <cell r="B40" t="str">
            <v>CA製品一式</v>
          </cell>
          <cell r="C40" t="str">
            <v>CL</v>
          </cell>
          <cell r="D40" t="str">
            <v>CA</v>
          </cell>
          <cell r="E40" t="str">
            <v>SW</v>
          </cell>
          <cell r="F40" t="str">
            <v>M1 運用管理ツール</v>
          </cell>
          <cell r="G40">
            <v>49090136</v>
          </cell>
          <cell r="H40">
            <v>49090136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</row>
        <row r="41">
          <cell r="B41" t="str">
            <v>Check Point Security Domain software blade for managing Unlimited Gateways</v>
          </cell>
          <cell r="C41" t="str">
            <v>NW</v>
          </cell>
          <cell r="D41" t="str">
            <v>CheckPoint</v>
          </cell>
          <cell r="E41" t="str">
            <v>SW</v>
          </cell>
          <cell r="F41" t="str">
            <v>N4 高機能ファイアウォール</v>
          </cell>
          <cell r="G41">
            <v>1120000</v>
          </cell>
          <cell r="H41">
            <v>436800</v>
          </cell>
          <cell r="I41">
            <v>448000</v>
          </cell>
          <cell r="J41">
            <v>277760</v>
          </cell>
          <cell r="K41">
            <v>448000</v>
          </cell>
          <cell r="L41">
            <v>277760</v>
          </cell>
        </row>
        <row r="42">
          <cell r="B42" t="str">
            <v>Cisco 1812J</v>
          </cell>
          <cell r="C42" t="str">
            <v>NW</v>
          </cell>
          <cell r="D42" t="str">
            <v>Cisco</v>
          </cell>
          <cell r="E42" t="str">
            <v>HW</v>
          </cell>
          <cell r="F42" t="str">
            <v>N2 周辺スイッチ</v>
          </cell>
          <cell r="G42">
            <v>108720</v>
          </cell>
          <cell r="H42">
            <v>54360</v>
          </cell>
          <cell r="I42">
            <v>21744</v>
          </cell>
          <cell r="J42">
            <v>17395.2</v>
          </cell>
          <cell r="K42">
            <v>21744</v>
          </cell>
          <cell r="L42">
            <v>17395.2</v>
          </cell>
        </row>
        <row r="43">
          <cell r="B43" t="str">
            <v xml:space="preserve">CISCO FOUR POST RAIL KIT FOR NAM2220 </v>
          </cell>
          <cell r="C43" t="str">
            <v>NW</v>
          </cell>
          <cell r="D43" t="str">
            <v>Cisco</v>
          </cell>
          <cell r="E43" t="str">
            <v>HW</v>
          </cell>
          <cell r="F43" t="str">
            <v>N10 パケットキャプチャ</v>
          </cell>
          <cell r="G43">
            <v>60000</v>
          </cell>
          <cell r="H43">
            <v>30000</v>
          </cell>
          <cell r="I43">
            <v>12000</v>
          </cell>
          <cell r="J43">
            <v>9600</v>
          </cell>
          <cell r="K43">
            <v>12000</v>
          </cell>
          <cell r="L43">
            <v>9600</v>
          </cell>
        </row>
        <row r="44">
          <cell r="B44" t="str">
            <v>Citrix Cloud Bridge</v>
          </cell>
          <cell r="C44" t="str">
            <v>NW</v>
          </cell>
          <cell r="D44" t="str">
            <v>Citrix</v>
          </cell>
          <cell r="E44" t="str">
            <v>SW</v>
          </cell>
          <cell r="F44" t="str">
            <v>N5 ロードバランサ</v>
          </cell>
          <cell r="G44">
            <v>1237500</v>
          </cell>
          <cell r="H44">
            <v>618750</v>
          </cell>
          <cell r="I44">
            <v>0</v>
          </cell>
          <cell r="J44">
            <v>0</v>
          </cell>
          <cell r="K44">
            <v>160875</v>
          </cell>
          <cell r="L44">
            <v>128700</v>
          </cell>
        </row>
        <row r="45">
          <cell r="B45" t="str">
            <v>CLエンジニアリング：absc</v>
          </cell>
          <cell r="C45" t="str">
            <v>CL</v>
          </cell>
          <cell r="D45" t="str">
            <v>NSSOL</v>
          </cell>
          <cell r="E45" t="str">
            <v>ENG</v>
          </cell>
          <cell r="F45" t="str">
            <v>ME 運用管理エンジ費</v>
          </cell>
          <cell r="G45">
            <v>0</v>
          </cell>
          <cell r="H45">
            <v>6156000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</row>
        <row r="46">
          <cell r="B46" t="str">
            <v>CLエンジニアリング：API実装</v>
          </cell>
          <cell r="C46" t="str">
            <v>CL</v>
          </cell>
          <cell r="D46" t="str">
            <v>NSSOL</v>
          </cell>
          <cell r="E46" t="str">
            <v>ENG</v>
          </cell>
          <cell r="F46" t="str">
            <v>ME 運用管理エンジ費</v>
          </cell>
          <cell r="G46">
            <v>0</v>
          </cell>
          <cell r="H46">
            <v>20000000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</row>
        <row r="47">
          <cell r="B47" t="str">
            <v>CLエンジニアリング：BK(p-datL1)</v>
          </cell>
          <cell r="C47" t="str">
            <v>CL</v>
          </cell>
          <cell r="D47" t="str">
            <v>NSSOL</v>
          </cell>
          <cell r="E47" t="str">
            <v>ENG</v>
          </cell>
          <cell r="F47" t="str">
            <v>ME 運用管理エンジ費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</row>
        <row r="48">
          <cell r="B48" t="str">
            <v>CLエンジニアリング：BK(p-datL2)</v>
          </cell>
          <cell r="C48" t="str">
            <v>CL</v>
          </cell>
          <cell r="D48" t="str">
            <v>NSSOL</v>
          </cell>
          <cell r="E48" t="str">
            <v>ENG</v>
          </cell>
          <cell r="F48" t="str">
            <v>ME 運用管理エンジ費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</row>
        <row r="49">
          <cell r="B49" t="str">
            <v>CLエンジニアリング：BK(p-sys)</v>
          </cell>
          <cell r="C49" t="str">
            <v>CL</v>
          </cell>
          <cell r="D49" t="str">
            <v>NSSOL</v>
          </cell>
          <cell r="E49" t="str">
            <v>ENG</v>
          </cell>
          <cell r="F49" t="str">
            <v>ME 運用管理エンジ費</v>
          </cell>
          <cell r="G49">
            <v>0</v>
          </cell>
          <cell r="H49">
            <v>2052000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</row>
        <row r="50">
          <cell r="B50" t="str">
            <v>CLエンジニアリング：BK(pv-datS)</v>
          </cell>
          <cell r="C50" t="str">
            <v>CL</v>
          </cell>
          <cell r="D50" t="str">
            <v>NSSOL</v>
          </cell>
          <cell r="E50" t="str">
            <v>ENG</v>
          </cell>
          <cell r="F50" t="str">
            <v>ME 運用管理エンジ費</v>
          </cell>
          <cell r="G50">
            <v>0</v>
          </cell>
          <cell r="H50">
            <v>2052000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</row>
        <row r="51">
          <cell r="B51" t="str">
            <v>CLエンジニアリング：BK(TAPE)</v>
          </cell>
          <cell r="C51" t="str">
            <v>CL</v>
          </cell>
          <cell r="D51" t="str">
            <v>NSSOL</v>
          </cell>
          <cell r="E51" t="str">
            <v>ENG</v>
          </cell>
          <cell r="F51" t="str">
            <v>ME 運用管理エンジ費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</row>
        <row r="52">
          <cell r="B52" t="str">
            <v>CLエンジニアリング：BK(v-datL)</v>
          </cell>
          <cell r="C52" t="str">
            <v>CL</v>
          </cell>
          <cell r="D52" t="str">
            <v>NSSOL</v>
          </cell>
          <cell r="E52" t="str">
            <v>ENG</v>
          </cell>
          <cell r="F52" t="str">
            <v>ME 運用管理エンジ費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</row>
        <row r="53">
          <cell r="B53" t="str">
            <v>CLエンジニアリング：BK(v-sys)</v>
          </cell>
          <cell r="C53" t="str">
            <v>CL</v>
          </cell>
          <cell r="D53" t="str">
            <v>NSSOL</v>
          </cell>
          <cell r="E53" t="str">
            <v>ENG</v>
          </cell>
          <cell r="F53" t="str">
            <v>ME 運用管理エンジ費</v>
          </cell>
          <cell r="G53">
            <v>0</v>
          </cell>
          <cell r="H53">
            <v>2052000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</row>
        <row r="54">
          <cell r="B54" t="str">
            <v>CLエンジニアリング：BM</v>
          </cell>
          <cell r="C54" t="str">
            <v>CL</v>
          </cell>
          <cell r="D54" t="str">
            <v>NSSOL</v>
          </cell>
          <cell r="E54" t="str">
            <v>ENG</v>
          </cell>
          <cell r="F54" t="str">
            <v>ME 運用管理エンジ費</v>
          </cell>
          <cell r="G54">
            <v>0</v>
          </cell>
          <cell r="H54">
            <v>6156000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</row>
        <row r="55">
          <cell r="B55" t="str">
            <v>CLエンジニアリング：BM(クラスタ)</v>
          </cell>
          <cell r="C55" t="str">
            <v>CL</v>
          </cell>
          <cell r="D55" t="str">
            <v>NSSOL</v>
          </cell>
          <cell r="E55" t="str">
            <v>ENG</v>
          </cell>
          <cell r="F55" t="str">
            <v>ME 運用管理エンジ費</v>
          </cell>
          <cell r="G55">
            <v>0</v>
          </cell>
          <cell r="H55">
            <v>3078000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</row>
        <row r="56">
          <cell r="B56" t="str">
            <v>CLエンジニアリング：ClouｄBurst</v>
          </cell>
          <cell r="C56" t="str">
            <v>CL</v>
          </cell>
          <cell r="D56" t="str">
            <v>NSSOL</v>
          </cell>
          <cell r="E56" t="str">
            <v>ENG</v>
          </cell>
          <cell r="F56" t="str">
            <v>ME 運用管理エンジ費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</row>
        <row r="57">
          <cell r="B57" t="str">
            <v>CLエンジニアリング：DR@Hybrid</v>
          </cell>
          <cell r="C57" t="str">
            <v>CL</v>
          </cell>
          <cell r="D57" t="str">
            <v>NSSOL</v>
          </cell>
          <cell r="E57" t="str">
            <v>ENG</v>
          </cell>
          <cell r="F57" t="str">
            <v>ME 運用管理エンジ費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</row>
        <row r="58">
          <cell r="B58" t="str">
            <v>CLエンジニアリング：DR@大阪</v>
          </cell>
          <cell r="C58" t="str">
            <v>CL</v>
          </cell>
          <cell r="D58" t="str">
            <v>NSSOL</v>
          </cell>
          <cell r="E58" t="str">
            <v>ENG</v>
          </cell>
          <cell r="F58" t="str">
            <v>ME 運用管理エンジ費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</row>
        <row r="59">
          <cell r="B59" t="str">
            <v>CLエンジニアリング：IDS/IPS</v>
          </cell>
          <cell r="C59" t="str">
            <v>CL</v>
          </cell>
          <cell r="D59" t="str">
            <v>NSSOL</v>
          </cell>
          <cell r="E59" t="str">
            <v>ENG</v>
          </cell>
          <cell r="F59" t="str">
            <v>ME 運用管理エンジ費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</row>
        <row r="60">
          <cell r="B60" t="str">
            <v>CLエンジニアリング：Multi Viewフレームワーク</v>
          </cell>
          <cell r="C60" t="str">
            <v>CL</v>
          </cell>
          <cell r="D60" t="str">
            <v>NSSOL</v>
          </cell>
          <cell r="E60" t="str">
            <v>ENG</v>
          </cell>
          <cell r="F60" t="str">
            <v>ME 運用管理エンジ費</v>
          </cell>
          <cell r="G60">
            <v>0</v>
          </cell>
          <cell r="H60">
            <v>20000000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</row>
        <row r="61">
          <cell r="B61" t="str">
            <v>CLエンジニアリング：NFSVM</v>
          </cell>
          <cell r="C61" t="str">
            <v>CL</v>
          </cell>
          <cell r="D61" t="str">
            <v>NSSOL</v>
          </cell>
          <cell r="E61" t="str">
            <v>ENG</v>
          </cell>
          <cell r="F61" t="str">
            <v>ME 運用管理エンジ費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</row>
        <row r="62">
          <cell r="B62" t="str">
            <v>CLエンジニアリング：pRT</v>
          </cell>
          <cell r="C62" t="str">
            <v>CL</v>
          </cell>
          <cell r="D62" t="str">
            <v>NSSOL</v>
          </cell>
          <cell r="E62" t="str">
            <v>ENG</v>
          </cell>
          <cell r="F62" t="str">
            <v>ME 運用管理エンジ費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</row>
        <row r="63">
          <cell r="B63" t="str">
            <v>CLエンジニアリング：SDLC Hybrid</v>
          </cell>
          <cell r="C63" t="str">
            <v>CL</v>
          </cell>
          <cell r="D63" t="str">
            <v>NSSOL</v>
          </cell>
          <cell r="E63" t="str">
            <v>ENG</v>
          </cell>
          <cell r="F63" t="str">
            <v>ME 運用管理エンジ費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</row>
        <row r="64">
          <cell r="B64" t="str">
            <v>CLエンジニアリング：SDLC論理環境管理</v>
          </cell>
          <cell r="C64" t="str">
            <v>CL</v>
          </cell>
          <cell r="D64" t="str">
            <v>NSSOL</v>
          </cell>
          <cell r="E64" t="str">
            <v>ENG</v>
          </cell>
          <cell r="F64" t="str">
            <v>ME 運用管理エンジ費</v>
          </cell>
          <cell r="G64">
            <v>0</v>
          </cell>
          <cell r="H64">
            <v>12312000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</row>
        <row r="65">
          <cell r="B65" t="str">
            <v>CLエンジニアリング：SMTP</v>
          </cell>
          <cell r="C65" t="str">
            <v>CL</v>
          </cell>
          <cell r="D65" t="str">
            <v>NSSOL</v>
          </cell>
          <cell r="E65" t="str">
            <v>ENG</v>
          </cell>
          <cell r="F65" t="str">
            <v>ME 運用管理エンジ費</v>
          </cell>
          <cell r="G65">
            <v>0</v>
          </cell>
          <cell r="H65">
            <v>1026000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</row>
        <row r="66">
          <cell r="B66" t="str">
            <v>CLエンジニアリング：T1DATA</v>
          </cell>
          <cell r="C66" t="str">
            <v>CL</v>
          </cell>
          <cell r="D66" t="str">
            <v>NSSOL</v>
          </cell>
          <cell r="E66" t="str">
            <v>ENG</v>
          </cell>
          <cell r="F66" t="str">
            <v>ME 運用管理エンジ費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</row>
        <row r="67">
          <cell r="B67" t="str">
            <v>CLエンジニアリング：T2DATA</v>
          </cell>
          <cell r="C67" t="str">
            <v>CL</v>
          </cell>
          <cell r="D67" t="str">
            <v>NSSOL</v>
          </cell>
          <cell r="E67" t="str">
            <v>ENG</v>
          </cell>
          <cell r="F67" t="str">
            <v>ME 運用管理エンジ費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</row>
        <row r="68">
          <cell r="B68" t="str">
            <v>CLエンジニアリング：vFW</v>
          </cell>
          <cell r="C68" t="str">
            <v>CL</v>
          </cell>
          <cell r="D68" t="str">
            <v>NSSOL</v>
          </cell>
          <cell r="E68" t="str">
            <v>ENG</v>
          </cell>
          <cell r="F68" t="str">
            <v>ME 運用管理エンジ費</v>
          </cell>
          <cell r="G68">
            <v>0</v>
          </cell>
          <cell r="H68">
            <v>8208000.0000000009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</row>
        <row r="69">
          <cell r="B69" t="str">
            <v>CLエンジニアリング：vLB</v>
          </cell>
          <cell r="C69" t="str">
            <v>CL</v>
          </cell>
          <cell r="D69" t="str">
            <v>NSSOL</v>
          </cell>
          <cell r="E69" t="str">
            <v>ENG</v>
          </cell>
          <cell r="F69" t="str">
            <v>ME 運用管理エンジ費</v>
          </cell>
          <cell r="G69">
            <v>0</v>
          </cell>
          <cell r="H69">
            <v>10260000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</row>
        <row r="70">
          <cell r="B70" t="str">
            <v>CLエンジニアリング：VM</v>
          </cell>
          <cell r="C70" t="str">
            <v>CL</v>
          </cell>
          <cell r="D70" t="str">
            <v>NSSOL</v>
          </cell>
          <cell r="E70" t="str">
            <v>ENG</v>
          </cell>
          <cell r="F70" t="str">
            <v>ME 運用管理エンジ費</v>
          </cell>
          <cell r="G70">
            <v>0</v>
          </cell>
          <cell r="H70">
            <v>6156000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</row>
        <row r="71">
          <cell r="B71" t="str">
            <v>CLエンジニアリング：vRT</v>
          </cell>
          <cell r="C71" t="str">
            <v>CL</v>
          </cell>
          <cell r="D71" t="str">
            <v>NSSOL</v>
          </cell>
          <cell r="E71" t="str">
            <v>ENG</v>
          </cell>
          <cell r="F71" t="str">
            <v>ME 運用管理エンジ費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</row>
        <row r="72">
          <cell r="B72" t="str">
            <v>CLエンジニアリング：vSSL</v>
          </cell>
          <cell r="C72" t="str">
            <v>CL</v>
          </cell>
          <cell r="D72" t="str">
            <v>NSSOL</v>
          </cell>
          <cell r="E72" t="str">
            <v>ENG</v>
          </cell>
          <cell r="F72" t="str">
            <v>ME 運用管理エンジ費</v>
          </cell>
          <cell r="G72">
            <v>0</v>
          </cell>
          <cell r="H72">
            <v>3078000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</row>
        <row r="73">
          <cell r="B73" t="str">
            <v>CLエンジニアリング：WSUS</v>
          </cell>
          <cell r="C73" t="str">
            <v>CL</v>
          </cell>
          <cell r="D73" t="str">
            <v>NSSOL</v>
          </cell>
          <cell r="E73" t="str">
            <v>ENG</v>
          </cell>
          <cell r="F73" t="str">
            <v>ME 運用管理エンジ費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</row>
        <row r="74">
          <cell r="B74" t="str">
            <v>CLエンジニアリング：YUM</v>
          </cell>
          <cell r="C74" t="str">
            <v>CL</v>
          </cell>
          <cell r="D74" t="str">
            <v>NSSOL</v>
          </cell>
          <cell r="E74" t="str">
            <v>ENG</v>
          </cell>
          <cell r="F74" t="str">
            <v>ME 運用管理エンジ費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</row>
        <row r="75">
          <cell r="B75" t="str">
            <v>CLエンジニアリング：インシデント管理</v>
          </cell>
          <cell r="C75" t="str">
            <v>CL</v>
          </cell>
          <cell r="D75" t="str">
            <v>NSSOL</v>
          </cell>
          <cell r="E75" t="str">
            <v>ENG</v>
          </cell>
          <cell r="F75" t="str">
            <v>ME 運用管理エンジ費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</row>
        <row r="76">
          <cell r="B76" t="str">
            <v>CLエンジニアリング：ウィルススキャン</v>
          </cell>
          <cell r="C76" t="str">
            <v>CL</v>
          </cell>
          <cell r="D76" t="str">
            <v>NSSOL</v>
          </cell>
          <cell r="E76" t="str">
            <v>ENG</v>
          </cell>
          <cell r="F76" t="str">
            <v>ME 運用管理エンジ費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</row>
        <row r="77">
          <cell r="B77" t="str">
            <v>CLエンジニアリング：運用・業務設計</v>
          </cell>
          <cell r="C77" t="str">
            <v>CL</v>
          </cell>
          <cell r="D77" t="str">
            <v>NSSOL</v>
          </cell>
          <cell r="E77" t="str">
            <v>ENG</v>
          </cell>
          <cell r="F77" t="str">
            <v>ME 運用管理エンジ費</v>
          </cell>
          <cell r="G77">
            <v>0</v>
          </cell>
          <cell r="H77">
            <v>47640000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</row>
        <row r="78">
          <cell r="B78" t="str">
            <v>CLエンジニアリング：外部接続</v>
          </cell>
          <cell r="C78" t="str">
            <v>CL</v>
          </cell>
          <cell r="D78" t="str">
            <v>NSSOL</v>
          </cell>
          <cell r="E78" t="str">
            <v>ENG</v>
          </cell>
          <cell r="F78" t="str">
            <v>ME 運用管理エンジ費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</row>
        <row r="79">
          <cell r="B79" t="str">
            <v>CLエンジニアリング：仮想マシン移行</v>
          </cell>
          <cell r="C79" t="str">
            <v>CL</v>
          </cell>
          <cell r="D79" t="str">
            <v>NSSOL</v>
          </cell>
          <cell r="E79" t="str">
            <v>ENG</v>
          </cell>
          <cell r="F79" t="str">
            <v>ME 運用管理エンジ費</v>
          </cell>
          <cell r="G79">
            <v>0</v>
          </cell>
          <cell r="H79">
            <v>3078000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</row>
        <row r="80">
          <cell r="B80" t="str">
            <v>CLエンジニアリング：監視設定とアラート通知</v>
          </cell>
          <cell r="C80" t="str">
            <v>CL</v>
          </cell>
          <cell r="D80" t="str">
            <v>NSSOL</v>
          </cell>
          <cell r="E80" t="str">
            <v>ENG</v>
          </cell>
          <cell r="F80" t="str">
            <v>ME 運用管理エンジ費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</row>
        <row r="81">
          <cell r="B81" t="str">
            <v>CLエンジニアリング：管理サーバ(NCCM)</v>
          </cell>
          <cell r="C81" t="str">
            <v>CL</v>
          </cell>
          <cell r="D81" t="str">
            <v>NSSOL</v>
          </cell>
          <cell r="E81" t="str">
            <v>ENG</v>
          </cell>
          <cell r="F81" t="str">
            <v>ME 運用管理エンジ費</v>
          </cell>
          <cell r="G81">
            <v>0</v>
          </cell>
          <cell r="H81">
            <v>42000000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</row>
        <row r="82">
          <cell r="B82" t="str">
            <v>CLエンジニアリング：キャパシティ管理</v>
          </cell>
          <cell r="C82" t="str">
            <v>CL</v>
          </cell>
          <cell r="D82" t="str">
            <v>NSSOL</v>
          </cell>
          <cell r="E82" t="str">
            <v>ENG</v>
          </cell>
          <cell r="F82" t="str">
            <v>ME 運用管理エンジ費</v>
          </cell>
          <cell r="G82">
            <v>0</v>
          </cell>
          <cell r="H82">
            <v>3078000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</row>
        <row r="83">
          <cell r="B83" t="str">
            <v>CLエンジニアリング：クラウド管理者側認証基盤設計・実装</v>
          </cell>
          <cell r="C83" t="str">
            <v>CL</v>
          </cell>
          <cell r="D83" t="str">
            <v>NSSOL</v>
          </cell>
          <cell r="E83" t="str">
            <v>ENG</v>
          </cell>
          <cell r="F83" t="str">
            <v>ME 運用管理エンジ費</v>
          </cell>
          <cell r="G83">
            <v>0</v>
          </cell>
          <cell r="H83">
            <v>10000000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</row>
        <row r="84">
          <cell r="B84" t="str">
            <v xml:space="preserve">CLエンジニアリング：構成管理(リソース管理者向け)  </v>
          </cell>
          <cell r="C84" t="str">
            <v>CL</v>
          </cell>
          <cell r="D84" t="str">
            <v>NSSOL</v>
          </cell>
          <cell r="E84" t="str">
            <v>ENG</v>
          </cell>
          <cell r="F84" t="str">
            <v>ME 運用管理エンジ費</v>
          </cell>
          <cell r="G84">
            <v>0</v>
          </cell>
          <cell r="H84">
            <v>8208000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</row>
        <row r="85">
          <cell r="B85" t="str">
            <v>CLエンジニアリング：コンソール接続</v>
          </cell>
          <cell r="C85" t="str">
            <v>CL</v>
          </cell>
          <cell r="D85" t="str">
            <v>NSSOL</v>
          </cell>
          <cell r="E85" t="str">
            <v>ENG</v>
          </cell>
          <cell r="F85" t="str">
            <v>ME 運用管理エンジ費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</row>
        <row r="86">
          <cell r="B86" t="str">
            <v>CLエンジニアリング：サービスメニュー定義</v>
          </cell>
          <cell r="C86" t="str">
            <v>CL</v>
          </cell>
          <cell r="D86" t="str">
            <v>NSSOL</v>
          </cell>
          <cell r="E86" t="str">
            <v>ENG</v>
          </cell>
          <cell r="F86" t="str">
            <v>ME 運用管理エンジ費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</row>
        <row r="87">
          <cell r="B87" t="str">
            <v>CLエンジニアリング：システムDR</v>
          </cell>
          <cell r="C87" t="str">
            <v>CL</v>
          </cell>
          <cell r="D87" t="str">
            <v>NSSOL</v>
          </cell>
          <cell r="E87" t="str">
            <v>ENG</v>
          </cell>
          <cell r="F87" t="str">
            <v>ME 運用管理エンジ費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</row>
        <row r="88">
          <cell r="B88" t="str">
            <v>CLエンジニアリング：スナップショット</v>
          </cell>
          <cell r="C88" t="str">
            <v>CL</v>
          </cell>
          <cell r="D88" t="str">
            <v>NSSOL</v>
          </cell>
          <cell r="E88" t="str">
            <v>ENG</v>
          </cell>
          <cell r="F88" t="str">
            <v>ME 運用管理エンジ費</v>
          </cell>
          <cell r="G88">
            <v>0</v>
          </cell>
          <cell r="H88">
            <v>4104000.0000000005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</row>
        <row r="89">
          <cell r="B89" t="str">
            <v>CLエンジニアリング：製品カスタマイズ</v>
          </cell>
          <cell r="C89" t="str">
            <v>CL</v>
          </cell>
          <cell r="D89" t="str">
            <v>NSSOL</v>
          </cell>
          <cell r="E89" t="str">
            <v>ENG</v>
          </cell>
          <cell r="F89" t="str">
            <v>ME 運用管理エンジ費</v>
          </cell>
          <cell r="G89">
            <v>0</v>
          </cell>
          <cell r="H89">
            <v>30000000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</row>
        <row r="90">
          <cell r="B90" t="str">
            <v>CLエンジニアリング：全体構成管理(クラウド管理者向け)</v>
          </cell>
          <cell r="C90" t="str">
            <v>CL</v>
          </cell>
          <cell r="D90" t="str">
            <v>NSSOL</v>
          </cell>
          <cell r="E90" t="str">
            <v>ENG</v>
          </cell>
          <cell r="F90" t="str">
            <v>ME 運用管理エンジ費</v>
          </cell>
          <cell r="G90">
            <v>0</v>
          </cell>
          <cell r="H90">
            <v>3078000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</row>
        <row r="91">
          <cell r="B91" t="str">
            <v>CLエンジニアリング：データ移行</v>
          </cell>
          <cell r="C91" t="str">
            <v>CL</v>
          </cell>
          <cell r="D91" t="str">
            <v>NSSOL</v>
          </cell>
          <cell r="E91" t="str">
            <v>ENG</v>
          </cell>
          <cell r="F91" t="str">
            <v>ME 運用管理エンジ費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</row>
        <row r="92">
          <cell r="B92" t="str">
            <v>CLエンジニアリング：テンプレート</v>
          </cell>
          <cell r="C92" t="str">
            <v>CL</v>
          </cell>
          <cell r="D92" t="str">
            <v>NSSOL</v>
          </cell>
          <cell r="E92" t="str">
            <v>ENG</v>
          </cell>
          <cell r="F92" t="str">
            <v>ME 運用管理エンジ費</v>
          </cell>
          <cell r="G92">
            <v>0</v>
          </cell>
          <cell r="H92">
            <v>8208000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</row>
        <row r="93">
          <cell r="B93" t="str">
            <v>CLエンジニアリング：ベーシック運用設計・実装</v>
          </cell>
          <cell r="C93" t="str">
            <v>CL</v>
          </cell>
          <cell r="D93" t="str">
            <v>NSSOL</v>
          </cell>
          <cell r="E93" t="str">
            <v>ENG</v>
          </cell>
          <cell r="F93" t="str">
            <v>ME 運用管理エンジ費</v>
          </cell>
          <cell r="G93">
            <v>0</v>
          </cell>
          <cell r="H93">
            <v>15000000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</row>
        <row r="94">
          <cell r="B94" t="str">
            <v>CLエンジニアリング：ユーザ管理</v>
          </cell>
          <cell r="C94" t="str">
            <v>CL</v>
          </cell>
          <cell r="D94" t="str">
            <v>NSSOL</v>
          </cell>
          <cell r="E94" t="str">
            <v>ENG</v>
          </cell>
          <cell r="F94" t="str">
            <v>ME 運用管理エンジ費</v>
          </cell>
          <cell r="G94">
            <v>0</v>
          </cell>
          <cell r="H94">
            <v>6156000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</row>
        <row r="95">
          <cell r="B95" t="str">
            <v>CLエンジニアリング：リソース傾向管理</v>
          </cell>
          <cell r="C95" t="str">
            <v>CL</v>
          </cell>
          <cell r="D95" t="str">
            <v>NSSOL</v>
          </cell>
          <cell r="E95" t="str">
            <v>ENG</v>
          </cell>
          <cell r="F95" t="str">
            <v>ME 運用管理エンジ費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</row>
        <row r="96">
          <cell r="B96" t="str">
            <v>CLエンジニアリング：リソースプール化・初期設定</v>
          </cell>
          <cell r="C96" t="str">
            <v>CL</v>
          </cell>
          <cell r="D96" t="str">
            <v>NSSOL</v>
          </cell>
          <cell r="E96" t="str">
            <v>ENG</v>
          </cell>
          <cell r="F96" t="str">
            <v>ME 運用管理エンジ費</v>
          </cell>
          <cell r="G96">
            <v>0</v>
          </cell>
          <cell r="H96">
            <v>3000000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</row>
        <row r="97">
          <cell r="B97" t="str">
            <v>CLエンジニアリング：リソースプール定義・初期登録</v>
          </cell>
          <cell r="C97" t="str">
            <v>CL</v>
          </cell>
          <cell r="D97" t="str">
            <v>NSSOL</v>
          </cell>
          <cell r="E97" t="str">
            <v>ENG</v>
          </cell>
          <cell r="F97" t="str">
            <v>ME 運用管理エンジ費</v>
          </cell>
          <cell r="G97">
            <v>0</v>
          </cell>
          <cell r="H97">
            <v>3000000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</row>
        <row r="98">
          <cell r="B98" t="str">
            <v>CLエンジニアリング：利用案内</v>
          </cell>
          <cell r="C98" t="str">
            <v>CL</v>
          </cell>
          <cell r="D98" t="str">
            <v>NSSOL</v>
          </cell>
          <cell r="E98" t="str">
            <v>ENG</v>
          </cell>
          <cell r="F98" t="str">
            <v>ME 運用管理エンジ費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</row>
        <row r="99">
          <cell r="B99" t="str">
            <v>CLエンジニアリング：利用申請</v>
          </cell>
          <cell r="C99" t="str">
            <v>CL</v>
          </cell>
          <cell r="D99" t="str">
            <v>NSSOL</v>
          </cell>
          <cell r="E99" t="str">
            <v>ENG</v>
          </cell>
          <cell r="F99" t="str">
            <v>ME 運用管理エンジ費</v>
          </cell>
          <cell r="G99">
            <v>0</v>
          </cell>
          <cell r="H99">
            <v>3591000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</row>
        <row r="100">
          <cell r="B100" t="str">
            <v>CNA Brocade 1860</v>
          </cell>
          <cell r="C100" t="str">
            <v>SS</v>
          </cell>
          <cell r="D100" t="str">
            <v>DELL</v>
          </cell>
          <cell r="E100" t="str">
            <v>HW</v>
          </cell>
          <cell r="F100" t="str">
            <v>S1 サーバ</v>
          </cell>
          <cell r="G100">
            <v>110400</v>
          </cell>
          <cell r="H100">
            <v>107088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</row>
        <row r="101">
          <cell r="B101" t="str">
            <v>CPSB-GBLP Check Point Global Policy blade</v>
          </cell>
          <cell r="C101" t="str">
            <v>NW</v>
          </cell>
          <cell r="D101" t="str">
            <v>CheckPoint</v>
          </cell>
          <cell r="E101" t="str">
            <v>SW</v>
          </cell>
          <cell r="F101" t="str">
            <v>N4 高機能ファイアウォール</v>
          </cell>
          <cell r="G101">
            <v>1120000</v>
          </cell>
          <cell r="H101">
            <v>436800</v>
          </cell>
          <cell r="I101">
            <v>448000</v>
          </cell>
          <cell r="J101">
            <v>277760</v>
          </cell>
          <cell r="K101">
            <v>448000</v>
          </cell>
          <cell r="L101">
            <v>277760</v>
          </cell>
        </row>
        <row r="102">
          <cell r="B102" t="str">
            <v>CPSB-VPN Check Point IPSEC VPN Blade</v>
          </cell>
          <cell r="C102" t="str">
            <v>NW</v>
          </cell>
          <cell r="D102" t="str">
            <v>CheckPoint</v>
          </cell>
          <cell r="E102" t="str">
            <v>SW</v>
          </cell>
          <cell r="F102" t="str">
            <v>N4 高機能ファイアウォール</v>
          </cell>
          <cell r="G102">
            <v>218000</v>
          </cell>
          <cell r="H102">
            <v>85020</v>
          </cell>
          <cell r="I102">
            <v>87200</v>
          </cell>
          <cell r="J102">
            <v>54064</v>
          </cell>
          <cell r="K102">
            <v>87200</v>
          </cell>
          <cell r="L102">
            <v>54064</v>
          </cell>
        </row>
        <row r="103">
          <cell r="B103" t="str">
            <v>CPSB-VPN-HA Check Point IPSEC VPN Blade</v>
          </cell>
          <cell r="C103" t="str">
            <v>NW</v>
          </cell>
          <cell r="D103" t="str">
            <v>CheckPoint</v>
          </cell>
          <cell r="E103" t="str">
            <v>SW</v>
          </cell>
          <cell r="F103" t="str">
            <v>N4 高機能ファイアウォール</v>
          </cell>
          <cell r="G103">
            <v>174000</v>
          </cell>
          <cell r="H103">
            <v>67860</v>
          </cell>
          <cell r="I103">
            <v>69600</v>
          </cell>
          <cell r="J103">
            <v>43152</v>
          </cell>
          <cell r="K103">
            <v>69600</v>
          </cell>
          <cell r="L103">
            <v>43152</v>
          </cell>
        </row>
        <row r="104">
          <cell r="B104" t="str">
            <v>CPSG-VE1601 Check Point Security Gateway Virtual Edition on Virtual System with up to 16 cores</v>
          </cell>
          <cell r="C104" t="str">
            <v>NW</v>
          </cell>
          <cell r="D104" t="str">
            <v>CheckPoint</v>
          </cell>
          <cell r="E104" t="str">
            <v>SW</v>
          </cell>
          <cell r="F104" t="str">
            <v>N4 高機能ファイアウォール</v>
          </cell>
          <cell r="G104">
            <v>420000</v>
          </cell>
          <cell r="H104">
            <v>163800</v>
          </cell>
          <cell r="I104">
            <v>168000</v>
          </cell>
          <cell r="J104">
            <v>104160</v>
          </cell>
          <cell r="K104">
            <v>168000</v>
          </cell>
          <cell r="L104">
            <v>104160</v>
          </cell>
        </row>
        <row r="105">
          <cell r="B105" t="str">
            <v>CPSG-VE1601-HA Secondary Check Point Security Gateway Virtual Edition on Virtual System with up to 16 cores</v>
          </cell>
          <cell r="C105" t="str">
            <v>NW</v>
          </cell>
          <cell r="D105" t="str">
            <v>CheckPoint</v>
          </cell>
          <cell r="E105" t="str">
            <v>SW</v>
          </cell>
          <cell r="F105" t="str">
            <v>N4 高機能ファイアウォール</v>
          </cell>
          <cell r="G105">
            <v>336000</v>
          </cell>
          <cell r="H105">
            <v>131040</v>
          </cell>
          <cell r="I105">
            <v>134400</v>
          </cell>
          <cell r="J105">
            <v>83328</v>
          </cell>
          <cell r="K105">
            <v>134400</v>
          </cell>
          <cell r="L105">
            <v>83328</v>
          </cell>
        </row>
        <row r="106">
          <cell r="B106" t="str">
            <v>CPSM-PU007 Security Management pre-defined system including container with 7 Management blades (NPM, EPM, LOGS, MNTR, EVIN, PRVS, UDIR)</v>
          </cell>
          <cell r="C106" t="str">
            <v>NW</v>
          </cell>
          <cell r="D106" t="str">
            <v>CheckPoint</v>
          </cell>
          <cell r="E106" t="str">
            <v>SW</v>
          </cell>
          <cell r="F106" t="str">
            <v>N4 高機能ファイアウォール</v>
          </cell>
          <cell r="G106">
            <v>3770000</v>
          </cell>
          <cell r="H106">
            <v>1470300</v>
          </cell>
          <cell r="I106">
            <v>1508000</v>
          </cell>
          <cell r="J106">
            <v>934960</v>
          </cell>
          <cell r="K106">
            <v>1508000</v>
          </cell>
          <cell r="L106">
            <v>934960</v>
          </cell>
        </row>
        <row r="107">
          <cell r="B107" t="str">
            <v>CSK 10GE NIC</v>
          </cell>
          <cell r="C107" t="str">
            <v>NW</v>
          </cell>
          <cell r="D107" t="str">
            <v>Cascade</v>
          </cell>
          <cell r="E107" t="str">
            <v>HW</v>
          </cell>
          <cell r="F107" t="str">
            <v>N10 パケットキャプチャ</v>
          </cell>
          <cell r="G107">
            <v>1950000</v>
          </cell>
          <cell r="H107">
            <v>1560000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</row>
        <row r="108">
          <cell r="B108" t="str">
            <v>DataDomain DD640@DR（BASE+ES20)</v>
          </cell>
          <cell r="C108" t="str">
            <v>SS</v>
          </cell>
          <cell r="D108" t="str">
            <v>EMC</v>
          </cell>
          <cell r="E108" t="str">
            <v>HW</v>
          </cell>
          <cell r="F108" t="str">
            <v>S13 2次バックアップストレージ</v>
          </cell>
          <cell r="G108">
            <v>0</v>
          </cell>
          <cell r="H108">
            <v>3616200</v>
          </cell>
          <cell r="I108">
            <v>0</v>
          </cell>
          <cell r="J108">
            <v>486000</v>
          </cell>
          <cell r="K108">
            <v>0</v>
          </cell>
          <cell r="L108">
            <v>486000</v>
          </cell>
        </row>
        <row r="109">
          <cell r="B109" t="str">
            <v>DataDomain DD640@DR(ES20)</v>
          </cell>
          <cell r="C109" t="str">
            <v>SS</v>
          </cell>
          <cell r="D109" t="str">
            <v>EMC</v>
          </cell>
          <cell r="E109" t="str">
            <v>HW</v>
          </cell>
          <cell r="F109" t="str">
            <v>S13 2次バックアップストレージ</v>
          </cell>
          <cell r="G109">
            <v>0</v>
          </cell>
          <cell r="H109">
            <v>4434500</v>
          </cell>
          <cell r="I109">
            <v>0</v>
          </cell>
          <cell r="J109">
            <v>1036800</v>
          </cell>
          <cell r="K109">
            <v>0</v>
          </cell>
          <cell r="L109">
            <v>1036800</v>
          </cell>
        </row>
        <row r="110">
          <cell r="B110" t="str">
            <v>DataDomain DD670@第5DC（BASE+ES20)</v>
          </cell>
          <cell r="C110" t="str">
            <v>SS</v>
          </cell>
          <cell r="D110" t="str">
            <v>EMC</v>
          </cell>
          <cell r="E110" t="str">
            <v>HW</v>
          </cell>
          <cell r="F110" t="str">
            <v>S13 2次バックアップストレージ</v>
          </cell>
          <cell r="G110">
            <v>0</v>
          </cell>
          <cell r="H110">
            <v>10532550</v>
          </cell>
          <cell r="I110">
            <v>0</v>
          </cell>
          <cell r="J110">
            <v>1603800</v>
          </cell>
          <cell r="K110">
            <v>0</v>
          </cell>
          <cell r="L110">
            <v>1603800</v>
          </cell>
        </row>
        <row r="111">
          <cell r="B111" t="str">
            <v>DataDomain DD670@第5DC(ES20)</v>
          </cell>
          <cell r="C111" t="str">
            <v>SS</v>
          </cell>
          <cell r="D111" t="str">
            <v>EMC</v>
          </cell>
          <cell r="E111" t="str">
            <v>HW</v>
          </cell>
          <cell r="F111" t="str">
            <v>S13 2次バックアップストレージ</v>
          </cell>
          <cell r="G111">
            <v>0</v>
          </cell>
          <cell r="H111">
            <v>4434500</v>
          </cell>
          <cell r="I111">
            <v>0</v>
          </cell>
          <cell r="J111">
            <v>1036800</v>
          </cell>
          <cell r="K111">
            <v>0</v>
          </cell>
          <cell r="L111">
            <v>1036800</v>
          </cell>
        </row>
        <row r="112">
          <cell r="B112" t="str">
            <v>DeepSecurity（AV+IPS）</v>
          </cell>
          <cell r="C112" t="str">
            <v>SS</v>
          </cell>
          <cell r="D112" t="str">
            <v>トレンドマイクロ</v>
          </cell>
          <cell r="E112" t="str">
            <v>SW</v>
          </cell>
          <cell r="F112" t="str">
            <v>S10 ウイルススキャン</v>
          </cell>
          <cell r="G112">
            <v>0</v>
          </cell>
          <cell r="H112">
            <v>76684</v>
          </cell>
          <cell r="I112">
            <v>0</v>
          </cell>
          <cell r="J112">
            <v>0</v>
          </cell>
          <cell r="K112">
            <v>0</v>
          </cell>
          <cell r="L112">
            <v>66684</v>
          </cell>
        </row>
        <row r="113">
          <cell r="B113" t="str">
            <v>DeepSecurity（AVのみ）</v>
          </cell>
          <cell r="C113" t="str">
            <v>SS</v>
          </cell>
          <cell r="D113" t="str">
            <v>トレンドマイクロ</v>
          </cell>
          <cell r="E113" t="str">
            <v>SW</v>
          </cell>
          <cell r="F113" t="str">
            <v>S10 ウイルススキャン</v>
          </cell>
          <cell r="G113">
            <v>0</v>
          </cell>
          <cell r="H113">
            <v>41164</v>
          </cell>
          <cell r="I113">
            <v>0</v>
          </cell>
          <cell r="J113">
            <v>0</v>
          </cell>
          <cell r="K113">
            <v>0</v>
          </cell>
          <cell r="L113">
            <v>31164</v>
          </cell>
        </row>
        <row r="114">
          <cell r="B114" t="str">
            <v>Dell AIM v3 Activation Key</v>
          </cell>
          <cell r="C114" t="str">
            <v>SS</v>
          </cell>
          <cell r="D114" t="str">
            <v>DELL</v>
          </cell>
          <cell r="E114" t="str">
            <v>SW</v>
          </cell>
          <cell r="F114" t="str">
            <v>S14 物理サーバ管理</v>
          </cell>
          <cell r="G114">
            <v>255255</v>
          </cell>
          <cell r="H114">
            <v>76650</v>
          </cell>
          <cell r="I114">
            <v>0</v>
          </cell>
          <cell r="J114">
            <v>0</v>
          </cell>
          <cell r="K114">
            <v>33826</v>
          </cell>
          <cell r="L114">
            <v>2550.0000000000005</v>
          </cell>
        </row>
        <row r="115">
          <cell r="B115" t="str">
            <v>Dell Basic PDU, Half Height, 30A/200-208V</v>
          </cell>
          <cell r="C115" t="str">
            <v>SS</v>
          </cell>
          <cell r="D115" t="str">
            <v>DELL</v>
          </cell>
          <cell r="E115" t="str">
            <v>HW</v>
          </cell>
          <cell r="F115" t="str">
            <v>S1 サーバ</v>
          </cell>
          <cell r="G115">
            <v>35000</v>
          </cell>
          <cell r="H115">
            <v>35000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</row>
        <row r="116">
          <cell r="B116" t="str">
            <v>Dell Twin AX SFP+ Cable (DACケーブル)  7m</v>
          </cell>
          <cell r="C116" t="str">
            <v>SS</v>
          </cell>
          <cell r="D116" t="str">
            <v>DELL</v>
          </cell>
          <cell r="E116" t="str">
            <v>HW</v>
          </cell>
          <cell r="F116" t="str">
            <v>S1 サーバ</v>
          </cell>
          <cell r="G116">
            <v>10000</v>
          </cell>
          <cell r="H116">
            <v>10000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</row>
        <row r="117">
          <cell r="B117" t="str">
            <v>EX 4200/4500 Virtual Chassis Port cable 1M length(EX-CBL-VCP-1M)</v>
          </cell>
          <cell r="C117" t="str">
            <v>NW</v>
          </cell>
          <cell r="D117" t="str">
            <v>Juniper</v>
          </cell>
          <cell r="E117" t="str">
            <v>HW</v>
          </cell>
          <cell r="F117" t="str">
            <v>N2 周辺スイッチ</v>
          </cell>
          <cell r="G117">
            <v>28400</v>
          </cell>
          <cell r="H117">
            <v>6816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</row>
        <row r="118">
          <cell r="B118" t="str">
            <v>EX2200-24T-4G</v>
          </cell>
          <cell r="C118" t="str">
            <v>NW</v>
          </cell>
          <cell r="D118" t="str">
            <v>Juniper</v>
          </cell>
          <cell r="E118" t="str">
            <v>HW</v>
          </cell>
          <cell r="F118" t="str">
            <v>N2 周辺スイッチ</v>
          </cell>
          <cell r="G118">
            <v>226500</v>
          </cell>
          <cell r="H118">
            <v>54360</v>
          </cell>
          <cell r="I118">
            <v>45300</v>
          </cell>
          <cell r="J118">
            <v>31709.999999999996</v>
          </cell>
          <cell r="K118">
            <v>45300</v>
          </cell>
          <cell r="L118">
            <v>31709.999999999996</v>
          </cell>
        </row>
        <row r="119">
          <cell r="B119" t="str">
            <v>EX2200-48T-4G(オプション無し)</v>
          </cell>
          <cell r="C119" t="str">
            <v>NW</v>
          </cell>
          <cell r="D119" t="str">
            <v>Juniper</v>
          </cell>
          <cell r="E119" t="str">
            <v>HW</v>
          </cell>
          <cell r="F119" t="str">
            <v>N2 周辺スイッチ</v>
          </cell>
          <cell r="G119">
            <v>411100</v>
          </cell>
          <cell r="H119">
            <v>102060</v>
          </cell>
          <cell r="I119">
            <v>82220</v>
          </cell>
          <cell r="J119">
            <v>57553.999999999993</v>
          </cell>
          <cell r="K119">
            <v>82220</v>
          </cell>
          <cell r="L119">
            <v>57553.999999999993</v>
          </cell>
        </row>
        <row r="120">
          <cell r="B120" t="str">
            <v>EX3200-48T(オプション無し)</v>
          </cell>
          <cell r="C120" t="str">
            <v>NW</v>
          </cell>
          <cell r="D120" t="str">
            <v>Juniper</v>
          </cell>
          <cell r="E120" t="str">
            <v>HW</v>
          </cell>
          <cell r="F120" t="str">
            <v>N2 周辺スイッチ</v>
          </cell>
          <cell r="G120">
            <v>766800</v>
          </cell>
          <cell r="H120">
            <v>165240</v>
          </cell>
          <cell r="I120">
            <v>153360</v>
          </cell>
          <cell r="J120">
            <v>107352</v>
          </cell>
          <cell r="K120">
            <v>153360</v>
          </cell>
          <cell r="L120">
            <v>107352</v>
          </cell>
        </row>
        <row r="121">
          <cell r="B121" t="str">
            <v>EX3200-48T/uplink 10Gx2</v>
          </cell>
          <cell r="C121" t="str">
            <v>NW</v>
          </cell>
          <cell r="D121" t="str">
            <v>Juniper</v>
          </cell>
          <cell r="E121" t="str">
            <v>HW</v>
          </cell>
          <cell r="F121" t="str">
            <v>N2 周辺スイッチ</v>
          </cell>
          <cell r="G121">
            <v>1476800</v>
          </cell>
          <cell r="H121">
            <v>354432</v>
          </cell>
          <cell r="I121">
            <v>295360</v>
          </cell>
          <cell r="J121">
            <v>206752</v>
          </cell>
          <cell r="K121">
            <v>295360</v>
          </cell>
          <cell r="L121">
            <v>206752</v>
          </cell>
        </row>
        <row r="122">
          <cell r="B122" t="str">
            <v>EX4200-48T(10GEuplinkx2)</v>
          </cell>
          <cell r="C122" t="str">
            <v>NW</v>
          </cell>
          <cell r="D122" t="str">
            <v>Juniper</v>
          </cell>
          <cell r="E122" t="str">
            <v>HW</v>
          </cell>
          <cell r="F122" t="str">
            <v>N2 周辺スイッチ</v>
          </cell>
          <cell r="G122">
            <v>2243600</v>
          </cell>
          <cell r="H122">
            <v>538464</v>
          </cell>
          <cell r="I122">
            <v>448720</v>
          </cell>
          <cell r="J122">
            <v>314104</v>
          </cell>
          <cell r="K122">
            <v>448720</v>
          </cell>
          <cell r="L122">
            <v>314104</v>
          </cell>
        </row>
        <row r="123">
          <cell r="B123" t="str">
            <v>EX4200-48T(オプション無し)</v>
          </cell>
          <cell r="C123" t="str">
            <v>NW</v>
          </cell>
          <cell r="D123" t="str">
            <v>Juniper</v>
          </cell>
          <cell r="E123" t="str">
            <v>HW</v>
          </cell>
          <cell r="F123" t="str">
            <v>N2 周辺スイッチ</v>
          </cell>
          <cell r="G123">
            <v>1533600</v>
          </cell>
          <cell r="H123">
            <v>300960</v>
          </cell>
          <cell r="I123">
            <v>306720</v>
          </cell>
          <cell r="J123">
            <v>214704</v>
          </cell>
          <cell r="K123">
            <v>306720</v>
          </cell>
          <cell r="L123">
            <v>214704</v>
          </cell>
        </row>
        <row r="124">
          <cell r="B124" t="str">
            <v>EX4500-40F-VC1-BF /VC1-FB</v>
          </cell>
          <cell r="C124" t="str">
            <v>NW</v>
          </cell>
          <cell r="D124" t="str">
            <v>Juniper</v>
          </cell>
          <cell r="E124" t="str">
            <v>HW</v>
          </cell>
          <cell r="F124" t="str">
            <v>N2 周辺スイッチ</v>
          </cell>
          <cell r="G124">
            <v>4118000</v>
          </cell>
          <cell r="H124">
            <v>1022250</v>
          </cell>
          <cell r="I124">
            <v>823600</v>
          </cell>
          <cell r="J124">
            <v>576520</v>
          </cell>
          <cell r="K124">
            <v>823600</v>
          </cell>
          <cell r="L124">
            <v>576520</v>
          </cell>
        </row>
        <row r="125">
          <cell r="B125" t="str">
            <v>EX-SFP-10GE-SR</v>
          </cell>
          <cell r="C125" t="str">
            <v>NW</v>
          </cell>
          <cell r="D125" t="str">
            <v>Juniper</v>
          </cell>
          <cell r="E125" t="str">
            <v>HW</v>
          </cell>
          <cell r="F125" t="str">
            <v>N2 周辺スイッチ</v>
          </cell>
          <cell r="G125">
            <v>213000</v>
          </cell>
          <cell r="H125">
            <v>48450</v>
          </cell>
          <cell r="I125">
            <v>42600</v>
          </cell>
          <cell r="J125">
            <v>29819.999999999996</v>
          </cell>
          <cell r="K125">
            <v>42600</v>
          </cell>
          <cell r="L125">
            <v>29819.999999999996</v>
          </cell>
        </row>
        <row r="126">
          <cell r="B126" t="str">
            <v>EX-UM-2X4SFP EX3200　2 ポート10G(SFP+)/4 ポート1G(SFP) 拡張モジュール</v>
          </cell>
          <cell r="C126" t="str">
            <v>NW</v>
          </cell>
          <cell r="D126" t="str">
            <v>Juniper</v>
          </cell>
          <cell r="E126" t="str">
            <v>HW</v>
          </cell>
          <cell r="F126" t="str">
            <v>N2 周辺スイッチ</v>
          </cell>
          <cell r="G126">
            <v>284000</v>
          </cell>
          <cell r="H126">
            <v>64600</v>
          </cell>
          <cell r="I126">
            <v>56800</v>
          </cell>
          <cell r="J126">
            <v>39760</v>
          </cell>
          <cell r="K126">
            <v>56800</v>
          </cell>
          <cell r="L126">
            <v>39760</v>
          </cell>
        </row>
        <row r="127">
          <cell r="B127" t="str">
            <v>FCOE S/W LICENSE- 16 8G FC ports, 16 FC optics FOR VDX6730-60, VDX6730-40</v>
          </cell>
          <cell r="C127" t="str">
            <v>NW</v>
          </cell>
          <cell r="D127" t="str">
            <v>Brocade</v>
          </cell>
          <cell r="E127" t="str">
            <v>HW</v>
          </cell>
          <cell r="F127" t="str">
            <v>N1 コアスイッチ</v>
          </cell>
          <cell r="G127">
            <v>2864000</v>
          </cell>
          <cell r="H127">
            <v>788800</v>
          </cell>
          <cell r="I127">
            <v>580208</v>
          </cell>
          <cell r="J127">
            <v>3095792</v>
          </cell>
          <cell r="K127">
            <v>628896</v>
          </cell>
          <cell r="L127">
            <v>302822</v>
          </cell>
        </row>
        <row r="128">
          <cell r="B128" t="str">
            <v>FCケーブル(OM3 LC-LC 10m)</v>
          </cell>
          <cell r="C128" t="str">
            <v>SS</v>
          </cell>
          <cell r="D128" t="str">
            <v>EMC</v>
          </cell>
          <cell r="E128" t="str">
            <v>HW</v>
          </cell>
          <cell r="F128" t="str">
            <v>S2 FiberChannel関連</v>
          </cell>
          <cell r="G128">
            <v>29000</v>
          </cell>
          <cell r="H128">
            <v>15080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</row>
        <row r="129">
          <cell r="B129" t="str">
            <v>FCスイッチ</v>
          </cell>
          <cell r="C129" t="str">
            <v>SS</v>
          </cell>
          <cell r="D129" t="str">
            <v>EMC</v>
          </cell>
          <cell r="E129" t="str">
            <v>HW</v>
          </cell>
          <cell r="F129" t="str">
            <v>S2 FiberChannel関連</v>
          </cell>
          <cell r="G129">
            <v>8715500</v>
          </cell>
          <cell r="H129">
            <v>4357750</v>
          </cell>
          <cell r="I129">
            <v>178346.66666666666</v>
          </cell>
          <cell r="J129">
            <v>142677.33333333334</v>
          </cell>
          <cell r="K129">
            <v>214025.83333333331</v>
          </cell>
          <cell r="L129">
            <v>171220.66666666666</v>
          </cell>
        </row>
        <row r="130">
          <cell r="B130" t="str">
            <v>IBM Proventia G5008C v2 オンサイト保守+パートナー年間</v>
          </cell>
          <cell r="C130" t="str">
            <v>NW</v>
          </cell>
          <cell r="D130" t="str">
            <v>IBM</v>
          </cell>
          <cell r="E130" t="str">
            <v>HW</v>
          </cell>
          <cell r="F130" t="str">
            <v>N6 IPS/IDS</v>
          </cell>
          <cell r="G130">
            <v>0</v>
          </cell>
          <cell r="H130">
            <v>0</v>
          </cell>
          <cell r="I130">
            <v>1280000</v>
          </cell>
          <cell r="J130">
            <v>1024000</v>
          </cell>
          <cell r="K130">
            <v>1280000</v>
          </cell>
          <cell r="L130">
            <v>1024000</v>
          </cell>
        </row>
        <row r="131">
          <cell r="B131" t="str">
            <v>IBM Proventia G5008C v2(オンサイト保守付き)</v>
          </cell>
          <cell r="C131" t="str">
            <v>NW</v>
          </cell>
          <cell r="D131" t="str">
            <v>IBM</v>
          </cell>
          <cell r="E131" t="str">
            <v>HW</v>
          </cell>
          <cell r="F131" t="str">
            <v>N6 IPS/IDS</v>
          </cell>
          <cell r="G131">
            <v>5020000</v>
          </cell>
          <cell r="H131">
            <v>2510000</v>
          </cell>
          <cell r="I131">
            <v>2786000</v>
          </cell>
          <cell r="J131">
            <v>2228800</v>
          </cell>
          <cell r="K131">
            <v>2786000</v>
          </cell>
          <cell r="L131">
            <v>2228800</v>
          </cell>
        </row>
        <row r="132">
          <cell r="B132" t="str">
            <v>IBM 運用監視サービス</v>
          </cell>
          <cell r="C132" t="str">
            <v>NW</v>
          </cell>
          <cell r="D132">
            <v>0</v>
          </cell>
          <cell r="E132" t="str">
            <v>ENG</v>
          </cell>
          <cell r="F132" t="str">
            <v>N6 IPS/IDS</v>
          </cell>
          <cell r="G132" t="str">
            <v>-</v>
          </cell>
          <cell r="H132" t="str">
            <v>-</v>
          </cell>
          <cell r="I132" t="str">
            <v>-</v>
          </cell>
          <cell r="J132" t="e">
            <v>#VALUE!</v>
          </cell>
          <cell r="K132" t="str">
            <v>-</v>
          </cell>
          <cell r="L132" t="e">
            <v>#VALUE!</v>
          </cell>
        </row>
        <row r="133">
          <cell r="B133" t="str">
            <v>ISMS/PCI-DSSコンサル</v>
          </cell>
          <cell r="C133" t="str">
            <v>NW</v>
          </cell>
          <cell r="D133" t="str">
            <v>NSSOL</v>
          </cell>
          <cell r="E133" t="str">
            <v>ENG</v>
          </cell>
          <cell r="F133" t="str">
            <v>O1 認証コンサル</v>
          </cell>
          <cell r="G133">
            <v>0</v>
          </cell>
          <cell r="H133">
            <v>10000000</v>
          </cell>
          <cell r="I133">
            <v>0</v>
          </cell>
          <cell r="J133">
            <v>0</v>
          </cell>
          <cell r="K133">
            <v>0</v>
          </cell>
          <cell r="L133">
            <v>7500000</v>
          </cell>
        </row>
        <row r="134">
          <cell r="B134" t="str">
            <v>LAC 運用監視サービス</v>
          </cell>
          <cell r="C134" t="str">
            <v>NW</v>
          </cell>
          <cell r="D134">
            <v>0</v>
          </cell>
          <cell r="E134" t="str">
            <v>ENG</v>
          </cell>
          <cell r="F134" t="str">
            <v>N6 IPS/IDS</v>
          </cell>
          <cell r="G134" t="str">
            <v>-</v>
          </cell>
          <cell r="H134" t="str">
            <v>-</v>
          </cell>
          <cell r="I134" t="str">
            <v>-</v>
          </cell>
          <cell r="J134" t="e">
            <v>#VALUE!</v>
          </cell>
          <cell r="K134" t="str">
            <v>-</v>
          </cell>
          <cell r="L134" t="e">
            <v>#VALUE!</v>
          </cell>
        </row>
        <row r="135">
          <cell r="B135" t="str">
            <v>LCS-SFPP-SR</v>
          </cell>
          <cell r="C135" t="str">
            <v>NW</v>
          </cell>
          <cell r="D135" t="str">
            <v>Swiftwing</v>
          </cell>
          <cell r="E135" t="str">
            <v>HW</v>
          </cell>
          <cell r="F135" t="str">
            <v>N10 パケットキャプチャ</v>
          </cell>
          <cell r="G135">
            <v>80000</v>
          </cell>
          <cell r="H135">
            <v>60000</v>
          </cell>
          <cell r="I135">
            <v>0</v>
          </cell>
          <cell r="J135">
            <v>0</v>
          </cell>
          <cell r="K135">
            <v>12000</v>
          </cell>
          <cell r="L135">
            <v>9000</v>
          </cell>
        </row>
        <row r="136">
          <cell r="B136" t="str">
            <v>LogStorage(LogGateグループ拡張)</v>
          </cell>
          <cell r="C136" t="str">
            <v>SS</v>
          </cell>
          <cell r="D136" t="str">
            <v>インフォサイエンス</v>
          </cell>
          <cell r="E136" t="str">
            <v>SW</v>
          </cell>
          <cell r="F136" t="str">
            <v>S17 統合ログ管理ツール</v>
          </cell>
          <cell r="G136">
            <v>500000</v>
          </cell>
          <cell r="H136">
            <v>300000</v>
          </cell>
          <cell r="I136">
            <v>100000</v>
          </cell>
          <cell r="J136">
            <v>70000</v>
          </cell>
          <cell r="K136">
            <v>100000</v>
          </cell>
          <cell r="L136">
            <v>70000</v>
          </cell>
        </row>
        <row r="137">
          <cell r="B137" t="str">
            <v>LogStorage(PISO/SecureCube連携パック込み)</v>
          </cell>
          <cell r="C137" t="str">
            <v>SS</v>
          </cell>
          <cell r="D137" t="str">
            <v>インフォサイエンス</v>
          </cell>
          <cell r="E137" t="str">
            <v>SW</v>
          </cell>
          <cell r="F137" t="str">
            <v>S17 統合ログ管理ツール</v>
          </cell>
          <cell r="G137">
            <v>5100000</v>
          </cell>
          <cell r="H137">
            <v>1887000</v>
          </cell>
          <cell r="I137">
            <v>1020000</v>
          </cell>
          <cell r="J137">
            <v>663000</v>
          </cell>
          <cell r="K137">
            <v>1020000</v>
          </cell>
          <cell r="L137">
            <v>663000</v>
          </cell>
        </row>
        <row r="138">
          <cell r="B138" t="str">
            <v>M-2950</v>
          </cell>
          <cell r="C138" t="str">
            <v>NW</v>
          </cell>
          <cell r="D138" t="str">
            <v>Mcafee</v>
          </cell>
          <cell r="E138" t="str">
            <v>HW</v>
          </cell>
          <cell r="F138" t="str">
            <v>N6 IPS/IDS</v>
          </cell>
          <cell r="G138">
            <v>6074320</v>
          </cell>
          <cell r="H138">
            <v>3037160</v>
          </cell>
          <cell r="I138">
            <v>1822296</v>
          </cell>
          <cell r="J138">
            <v>1457836.8</v>
          </cell>
          <cell r="K138">
            <v>1822296</v>
          </cell>
          <cell r="L138">
            <v>1457836.8</v>
          </cell>
        </row>
        <row r="139">
          <cell r="B139" t="str">
            <v>MAG2600</v>
          </cell>
          <cell r="C139" t="str">
            <v>NW</v>
          </cell>
          <cell r="D139" t="str">
            <v>Juniper</v>
          </cell>
          <cell r="E139" t="str">
            <v>HW</v>
          </cell>
          <cell r="F139" t="str">
            <v>N8 SSL-VPN</v>
          </cell>
          <cell r="G139">
            <v>530000</v>
          </cell>
          <cell r="H139">
            <v>58300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</row>
        <row r="140">
          <cell r="B140" t="str">
            <v>NAM2200(16GB Mem, 6x146G HDD)</v>
          </cell>
          <cell r="C140" t="str">
            <v>NW</v>
          </cell>
          <cell r="D140" t="str">
            <v>Cisco</v>
          </cell>
          <cell r="E140" t="str">
            <v>HW</v>
          </cell>
          <cell r="F140" t="str">
            <v>N10 パケットキャプチャ</v>
          </cell>
          <cell r="G140">
            <v>5570000</v>
          </cell>
          <cell r="H140">
            <v>2785000</v>
          </cell>
          <cell r="I140">
            <v>1114000</v>
          </cell>
          <cell r="J140">
            <v>891200</v>
          </cell>
          <cell r="K140">
            <v>1114000</v>
          </cell>
          <cell r="L140">
            <v>891200</v>
          </cell>
        </row>
        <row r="141">
          <cell r="B141" t="str">
            <v>NAM2220 Chasis</v>
          </cell>
          <cell r="C141" t="str">
            <v>NW</v>
          </cell>
          <cell r="D141" t="str">
            <v>Cisco</v>
          </cell>
          <cell r="E141" t="str">
            <v>HW</v>
          </cell>
          <cell r="F141" t="str">
            <v>N10 パケットキャプチャ</v>
          </cell>
          <cell r="G141">
            <v>4000000</v>
          </cell>
          <cell r="H141">
            <v>2000000</v>
          </cell>
          <cell r="I141">
            <v>800000</v>
          </cell>
          <cell r="J141">
            <v>640000</v>
          </cell>
          <cell r="K141">
            <v>800000</v>
          </cell>
          <cell r="L141">
            <v>640000</v>
          </cell>
        </row>
        <row r="142">
          <cell r="B142" t="str">
            <v xml:space="preserve">NAM2220-DIMM-16GB </v>
          </cell>
          <cell r="C142" t="str">
            <v>NW</v>
          </cell>
          <cell r="D142" t="str">
            <v>Cisco</v>
          </cell>
          <cell r="E142" t="str">
            <v>HW</v>
          </cell>
          <cell r="F142" t="str">
            <v>N10 パケットキャプチャ</v>
          </cell>
          <cell r="G142">
            <v>410000</v>
          </cell>
          <cell r="H142">
            <v>205000</v>
          </cell>
          <cell r="I142">
            <v>82000</v>
          </cell>
          <cell r="J142">
            <v>65600</v>
          </cell>
          <cell r="K142">
            <v>82000</v>
          </cell>
          <cell r="L142">
            <v>65600</v>
          </cell>
        </row>
        <row r="143">
          <cell r="B143" t="str">
            <v>NAM2220-HDD-6X146G</v>
          </cell>
          <cell r="C143" t="str">
            <v>NW</v>
          </cell>
          <cell r="D143" t="str">
            <v>Cisco</v>
          </cell>
          <cell r="E143" t="str">
            <v>HW</v>
          </cell>
          <cell r="F143" t="str">
            <v>N10 パケットキャプチャ</v>
          </cell>
          <cell r="G143">
            <v>900000</v>
          </cell>
          <cell r="H143">
            <v>450000</v>
          </cell>
          <cell r="I143">
            <v>180000</v>
          </cell>
          <cell r="J143">
            <v>144000</v>
          </cell>
          <cell r="K143">
            <v>180000</v>
          </cell>
          <cell r="L143">
            <v>144000</v>
          </cell>
        </row>
        <row r="144">
          <cell r="B144" t="str">
            <v xml:space="preserve">NAM-APPL-SW-5.0 </v>
          </cell>
          <cell r="C144" t="str">
            <v>NW</v>
          </cell>
          <cell r="D144" t="str">
            <v>Cisco</v>
          </cell>
          <cell r="E144" t="str">
            <v>HW</v>
          </cell>
          <cell r="F144" t="str">
            <v>N10 パケットキャプチャ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</row>
        <row r="145">
          <cell r="B145" t="str">
            <v>NBU 7 Ent Client Tier2</v>
          </cell>
          <cell r="C145" t="str">
            <v>SS</v>
          </cell>
          <cell r="D145" t="str">
            <v>Symantec</v>
          </cell>
          <cell r="E145" t="str">
            <v>SW</v>
          </cell>
          <cell r="F145" t="str">
            <v>S11 バックアップソフト</v>
          </cell>
          <cell r="G145">
            <v>883000</v>
          </cell>
          <cell r="H145">
            <v>150110</v>
          </cell>
          <cell r="I145">
            <v>165000</v>
          </cell>
          <cell r="J145">
            <v>18175.135135135137</v>
          </cell>
          <cell r="K145">
            <v>165000</v>
          </cell>
          <cell r="L145">
            <v>20194.594594594593</v>
          </cell>
        </row>
        <row r="146">
          <cell r="B146" t="str">
            <v>NBU 7 Ent Disk</v>
          </cell>
          <cell r="C146" t="str">
            <v>SS</v>
          </cell>
          <cell r="D146" t="str">
            <v>Symantec</v>
          </cell>
          <cell r="E146" t="str">
            <v>SW</v>
          </cell>
          <cell r="F146" t="str">
            <v>S11 バックアップソフト</v>
          </cell>
          <cell r="G146">
            <v>374000</v>
          </cell>
          <cell r="H146">
            <v>84204</v>
          </cell>
          <cell r="I146">
            <v>70000</v>
          </cell>
          <cell r="J146">
            <v>15156</v>
          </cell>
          <cell r="K146">
            <v>70000</v>
          </cell>
          <cell r="L146">
            <v>16840</v>
          </cell>
        </row>
        <row r="147">
          <cell r="B147" t="str">
            <v>NBU 7 Ent Server Tier2</v>
          </cell>
          <cell r="C147" t="str">
            <v>SS</v>
          </cell>
          <cell r="D147" t="str">
            <v>Symantec</v>
          </cell>
          <cell r="E147" t="str">
            <v>SW</v>
          </cell>
          <cell r="F147" t="str">
            <v>S11 バックアップソフト</v>
          </cell>
          <cell r="G147">
            <v>1739000</v>
          </cell>
          <cell r="H147">
            <v>331956</v>
          </cell>
          <cell r="I147">
            <v>332000</v>
          </cell>
          <cell r="J147">
            <v>59760</v>
          </cell>
          <cell r="K147">
            <v>332000</v>
          </cell>
          <cell r="L147">
            <v>66400</v>
          </cell>
        </row>
        <row r="148">
          <cell r="B148" t="str">
            <v>NBU 7 Std Client</v>
          </cell>
          <cell r="C148" t="str">
            <v>SS</v>
          </cell>
          <cell r="D148" t="str">
            <v>Symantec</v>
          </cell>
          <cell r="E148" t="str">
            <v>SW</v>
          </cell>
          <cell r="F148" t="str">
            <v>S11 バックアップソフト</v>
          </cell>
          <cell r="G148">
            <v>99800</v>
          </cell>
          <cell r="H148">
            <v>35928</v>
          </cell>
          <cell r="I148">
            <v>36000</v>
          </cell>
          <cell r="J148">
            <v>6480</v>
          </cell>
          <cell r="K148">
            <v>36000</v>
          </cell>
          <cell r="L148">
            <v>7200</v>
          </cell>
        </row>
        <row r="149">
          <cell r="B149" t="str">
            <v>NWエンジニアリング(1/2CU)</v>
          </cell>
          <cell r="C149" t="str">
            <v>NW</v>
          </cell>
          <cell r="D149" t="str">
            <v>NSSOL</v>
          </cell>
          <cell r="E149" t="str">
            <v>ENG</v>
          </cell>
          <cell r="F149" t="str">
            <v>NE ネットワークエンジ費</v>
          </cell>
          <cell r="G149">
            <v>3400000</v>
          </cell>
          <cell r="H149">
            <v>3400000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</row>
        <row r="150">
          <cell r="B150" t="str">
            <v>NWエンジニアリング(1/4CU)</v>
          </cell>
          <cell r="C150" t="str">
            <v>NW</v>
          </cell>
          <cell r="D150" t="str">
            <v>NSSOL</v>
          </cell>
          <cell r="E150" t="str">
            <v>ENG</v>
          </cell>
          <cell r="F150" t="str">
            <v>NE ネットワークエンジ費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</row>
        <row r="151">
          <cell r="B151" t="str">
            <v>NWエンジニアリング(1/8CU)</v>
          </cell>
          <cell r="C151" t="str">
            <v>NW</v>
          </cell>
          <cell r="D151" t="str">
            <v>NSSOL</v>
          </cell>
          <cell r="E151" t="str">
            <v>ENG</v>
          </cell>
          <cell r="F151" t="str">
            <v>NE ネットワークエンジ費</v>
          </cell>
          <cell r="G151">
            <v>4000000</v>
          </cell>
          <cell r="H151">
            <v>4000000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</row>
        <row r="152">
          <cell r="B152" t="str">
            <v>NWエンジニアリング(1CU)</v>
          </cell>
          <cell r="C152" t="str">
            <v>NW</v>
          </cell>
          <cell r="D152" t="str">
            <v>NSSOL</v>
          </cell>
          <cell r="E152" t="str">
            <v>ENG</v>
          </cell>
          <cell r="F152" t="str">
            <v>NE ネットワークエンジ費</v>
          </cell>
          <cell r="G152">
            <v>7100000</v>
          </cell>
          <cell r="H152">
            <v>7100000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</row>
        <row r="153">
          <cell r="B153" t="str">
            <v>NWエンジニアリング(DNS)</v>
          </cell>
          <cell r="C153" t="str">
            <v>NW</v>
          </cell>
          <cell r="D153" t="str">
            <v>NSSOL</v>
          </cell>
          <cell r="E153" t="str">
            <v>ENG</v>
          </cell>
          <cell r="F153" t="str">
            <v>NE ネットワークエンジ費</v>
          </cell>
          <cell r="G153">
            <v>2000000</v>
          </cell>
          <cell r="H153">
            <v>2000000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</row>
        <row r="154">
          <cell r="B154" t="str">
            <v>NWエンジニアリング(LDAP)</v>
          </cell>
          <cell r="C154" t="str">
            <v>NW</v>
          </cell>
          <cell r="D154" t="str">
            <v>NSSOL</v>
          </cell>
          <cell r="E154" t="str">
            <v>ENG</v>
          </cell>
          <cell r="F154" t="str">
            <v>NE ネットワークエンジ費</v>
          </cell>
          <cell r="G154">
            <v>2000000</v>
          </cell>
          <cell r="H154">
            <v>2000000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</row>
        <row r="155">
          <cell r="B155" t="str">
            <v>NWエンジニアリング(NTP)</v>
          </cell>
          <cell r="C155" t="str">
            <v>NW</v>
          </cell>
          <cell r="D155" t="str">
            <v>NSSOL</v>
          </cell>
          <cell r="E155" t="str">
            <v>ENG</v>
          </cell>
          <cell r="F155" t="str">
            <v>NE ネットワークエンジ費</v>
          </cell>
          <cell r="G155">
            <v>2000000</v>
          </cell>
          <cell r="H155">
            <v>2000000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</row>
        <row r="156">
          <cell r="B156" t="str">
            <v>NWエンジニアリング(SMTP)</v>
          </cell>
          <cell r="C156" t="str">
            <v>NW</v>
          </cell>
          <cell r="D156" t="str">
            <v>NSSOL</v>
          </cell>
          <cell r="E156" t="str">
            <v>ENG</v>
          </cell>
          <cell r="F156" t="str">
            <v>NE ネットワークエンジ費</v>
          </cell>
          <cell r="G156">
            <v>2000000</v>
          </cell>
          <cell r="H156">
            <v>2000000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</row>
        <row r="157">
          <cell r="B157" t="str">
            <v>NWエンジニアリング(syslog)</v>
          </cell>
          <cell r="C157" t="str">
            <v>NW</v>
          </cell>
          <cell r="D157" t="str">
            <v>NSSOL</v>
          </cell>
          <cell r="E157" t="str">
            <v>ENG</v>
          </cell>
          <cell r="F157" t="str">
            <v>NE ネットワークエンジ費</v>
          </cell>
          <cell r="G157">
            <v>2000000</v>
          </cell>
          <cell r="H157">
            <v>2000000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</row>
        <row r="158">
          <cell r="B158" t="str">
            <v>NWエンジニアリング(検証環境)</v>
          </cell>
          <cell r="C158" t="str">
            <v>NW</v>
          </cell>
          <cell r="D158" t="str">
            <v>NSSOL</v>
          </cell>
          <cell r="E158" t="str">
            <v>ENG</v>
          </cell>
          <cell r="F158" t="str">
            <v>NE ネットワークエンジ費</v>
          </cell>
          <cell r="G158">
            <v>8000000</v>
          </cell>
          <cell r="H158">
            <v>8000000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</row>
        <row r="159">
          <cell r="B159" t="str">
            <v>NWエンジニアリング(設計)</v>
          </cell>
          <cell r="C159" t="str">
            <v>NW</v>
          </cell>
          <cell r="D159" t="str">
            <v>NSSOL</v>
          </cell>
          <cell r="E159" t="str">
            <v>ENG</v>
          </cell>
          <cell r="F159" t="str">
            <v>NE ネットワークエンジ費</v>
          </cell>
          <cell r="G159">
            <v>81300000</v>
          </cell>
          <cell r="H159">
            <v>81300000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</row>
        <row r="160">
          <cell r="B160" t="str">
            <v>NWエンジニアリング(全体)</v>
          </cell>
          <cell r="C160" t="str">
            <v>NW</v>
          </cell>
          <cell r="D160" t="str">
            <v>NSSOL</v>
          </cell>
          <cell r="E160" t="str">
            <v>ENG</v>
          </cell>
          <cell r="F160" t="str">
            <v>NE ネットワークエンジ費</v>
          </cell>
          <cell r="G160">
            <v>1400000</v>
          </cell>
          <cell r="H160">
            <v>1400000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</row>
        <row r="161">
          <cell r="B161" t="str">
            <v>NWエンジニアリング(連携/DR@hybrid)</v>
          </cell>
          <cell r="C161" t="str">
            <v>NW</v>
          </cell>
          <cell r="D161" t="str">
            <v>NSSOL</v>
          </cell>
          <cell r="E161" t="str">
            <v>ENG</v>
          </cell>
          <cell r="F161" t="str">
            <v>NE ネットワークエンジ費</v>
          </cell>
          <cell r="G161">
            <v>1900000</v>
          </cell>
          <cell r="H161">
            <v>1900000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</row>
        <row r="162">
          <cell r="B162" t="str">
            <v>NWエンジニアリング(連携/DR@大阪/AWS)</v>
          </cell>
          <cell r="C162" t="str">
            <v>NW</v>
          </cell>
          <cell r="D162" t="str">
            <v>NSSOL</v>
          </cell>
          <cell r="E162" t="str">
            <v>ENG</v>
          </cell>
          <cell r="F162" t="str">
            <v>NE ネットワークエンジ費</v>
          </cell>
          <cell r="G162">
            <v>2100000</v>
          </cell>
          <cell r="H162">
            <v>2100000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</row>
        <row r="163">
          <cell r="B163" t="str">
            <v>NWエンジニアリング(連携/SDLC@hybrid)</v>
          </cell>
          <cell r="C163" t="str">
            <v>NW</v>
          </cell>
          <cell r="D163" t="str">
            <v>NSSOL</v>
          </cell>
          <cell r="E163" t="str">
            <v>ENG</v>
          </cell>
          <cell r="F163" t="str">
            <v>NE ネットワークエンジ費</v>
          </cell>
          <cell r="G163">
            <v>12300000</v>
          </cell>
          <cell r="H163">
            <v>12300000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</row>
        <row r="164">
          <cell r="B164" t="str">
            <v>NWエンジニアリング(連携/仮想プライベートクラウド)</v>
          </cell>
          <cell r="C164" t="str">
            <v>NW</v>
          </cell>
          <cell r="D164" t="str">
            <v>NSSOL</v>
          </cell>
          <cell r="E164" t="str">
            <v>ENG</v>
          </cell>
          <cell r="F164" t="str">
            <v>NE ネットワークエンジ費</v>
          </cell>
          <cell r="G164">
            <v>3200000</v>
          </cell>
          <cell r="H164">
            <v>3200000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</row>
        <row r="165">
          <cell r="B165" t="str">
            <v>NWエンジニアリング：管理サーバ(NCCM)</v>
          </cell>
          <cell r="C165" t="str">
            <v>CL</v>
          </cell>
          <cell r="D165" t="str">
            <v>NSSOL</v>
          </cell>
          <cell r="E165" t="str">
            <v>ENG</v>
          </cell>
          <cell r="F165" t="str">
            <v>NE ネットワークエンジ費</v>
          </cell>
          <cell r="G165">
            <v>0</v>
          </cell>
          <cell r="H165">
            <v>42000000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</row>
        <row r="166">
          <cell r="B166" t="str">
            <v>PISO ISM</v>
          </cell>
          <cell r="C166" t="str">
            <v>SS</v>
          </cell>
          <cell r="D166" t="str">
            <v>インサイトテクノロジー</v>
          </cell>
          <cell r="E166" t="str">
            <v>SW</v>
          </cell>
          <cell r="F166" t="str">
            <v>S15 データベース監査ツール</v>
          </cell>
          <cell r="G166">
            <v>3600000</v>
          </cell>
          <cell r="H166">
            <v>1800000</v>
          </cell>
          <cell r="I166">
            <v>540000</v>
          </cell>
          <cell r="J166">
            <v>270000</v>
          </cell>
          <cell r="K166">
            <v>540000</v>
          </cell>
          <cell r="L166">
            <v>270000</v>
          </cell>
        </row>
        <row r="167">
          <cell r="B167" t="str">
            <v>PISO Target(3～8)</v>
          </cell>
          <cell r="C167" t="str">
            <v>SS</v>
          </cell>
          <cell r="D167" t="str">
            <v>インサイトテクノロジー</v>
          </cell>
          <cell r="E167" t="str">
            <v>SW</v>
          </cell>
          <cell r="F167" t="str">
            <v>S15 データベース監査ツール</v>
          </cell>
          <cell r="G167">
            <v>2000000</v>
          </cell>
          <cell r="H167">
            <v>1000000</v>
          </cell>
          <cell r="I167">
            <v>300000</v>
          </cell>
          <cell r="J167">
            <v>150000</v>
          </cell>
          <cell r="K167">
            <v>300000</v>
          </cell>
          <cell r="L167">
            <v>150000</v>
          </cell>
        </row>
        <row r="168">
          <cell r="B168" t="str">
            <v>PISO Target(9以上)</v>
          </cell>
          <cell r="C168" t="str">
            <v>SS</v>
          </cell>
          <cell r="D168" t="str">
            <v>インサイトテクノロジー</v>
          </cell>
          <cell r="E168" t="str">
            <v>SW</v>
          </cell>
          <cell r="F168" t="str">
            <v>S15 データベース監査ツール</v>
          </cell>
          <cell r="G168">
            <v>3000000</v>
          </cell>
          <cell r="H168">
            <v>1500000</v>
          </cell>
          <cell r="I168">
            <v>450000</v>
          </cell>
          <cell r="J168">
            <v>225000</v>
          </cell>
          <cell r="K168">
            <v>450000</v>
          </cell>
          <cell r="L168">
            <v>225000</v>
          </cell>
        </row>
        <row r="169">
          <cell r="B169" t="str">
            <v xml:space="preserve">PowerEdge 2160AS ｱﾅﾛｸﾞ KVM ｽｲｯﾁ(1Uﾌﾞﾗﾝｸﾊﾟﾈﾙなし) </v>
          </cell>
          <cell r="C169" t="str">
            <v>SS</v>
          </cell>
          <cell r="D169" t="str">
            <v>DELL</v>
          </cell>
          <cell r="E169" t="str">
            <v>HW</v>
          </cell>
          <cell r="F169" t="str">
            <v>S1 サーバ</v>
          </cell>
          <cell r="G169">
            <v>868000</v>
          </cell>
          <cell r="H169">
            <v>564200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</row>
        <row r="170">
          <cell r="B170" t="str">
            <v>PowerPath（管理系サーバ用）</v>
          </cell>
          <cell r="C170" t="str">
            <v>SS</v>
          </cell>
          <cell r="D170" t="str">
            <v>EMC</v>
          </cell>
          <cell r="E170" t="str">
            <v>SW</v>
          </cell>
          <cell r="F170" t="str">
            <v>S2 FiberChannel関連</v>
          </cell>
          <cell r="G170">
            <v>0</v>
          </cell>
          <cell r="H170">
            <v>1770282.078488372</v>
          </cell>
          <cell r="I170">
            <v>0</v>
          </cell>
          <cell r="J170">
            <v>406868.20540116279</v>
          </cell>
          <cell r="K170">
            <v>0</v>
          </cell>
          <cell r="L170">
            <v>406868.20540116279</v>
          </cell>
        </row>
        <row r="171">
          <cell r="B171" t="str">
            <v>PowerPath（ユーザサーバ用）</v>
          </cell>
          <cell r="C171" t="str">
            <v>SS</v>
          </cell>
          <cell r="D171" t="str">
            <v>EMC</v>
          </cell>
          <cell r="E171" t="str">
            <v>SW</v>
          </cell>
          <cell r="F171" t="str">
            <v>S2 FiberChannel関連</v>
          </cell>
          <cell r="G171">
            <v>0</v>
          </cell>
          <cell r="H171">
            <v>3943007.9215116277</v>
          </cell>
          <cell r="I171">
            <v>0</v>
          </cell>
          <cell r="J171">
            <v>906891.91219883715</v>
          </cell>
          <cell r="K171">
            <v>0</v>
          </cell>
          <cell r="L171">
            <v>906891.91219883715</v>
          </cell>
        </row>
        <row r="172">
          <cell r="B172" t="str">
            <v>PowerVault™ ML6010CM Rack Mount Library with 2x LTO5 FC Tape Drive 5U</v>
          </cell>
          <cell r="C172" t="str">
            <v>SS</v>
          </cell>
          <cell r="D172" t="str">
            <v>DELL</v>
          </cell>
          <cell r="E172" t="str">
            <v>HW</v>
          </cell>
          <cell r="F172" t="str">
            <v>S6 テープドライブ</v>
          </cell>
          <cell r="G172">
            <v>4484115</v>
          </cell>
          <cell r="H172">
            <v>3626522.25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</row>
        <row r="173">
          <cell r="B173" t="str">
            <v>R610 ラックマウント作業</v>
          </cell>
          <cell r="C173" t="str">
            <v>SS</v>
          </cell>
          <cell r="D173" t="str">
            <v>DELL</v>
          </cell>
          <cell r="E173" t="str">
            <v>ENG</v>
          </cell>
          <cell r="F173" t="str">
            <v>S1 サーバ</v>
          </cell>
          <cell r="G173">
            <v>15000</v>
          </cell>
          <cell r="H173">
            <v>13500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</row>
        <row r="174">
          <cell r="B174" t="str">
            <v>R610(Type-A)</v>
          </cell>
          <cell r="C174" t="str">
            <v>SS</v>
          </cell>
          <cell r="D174" t="str">
            <v>IBM</v>
          </cell>
          <cell r="E174" t="str">
            <v>HW</v>
          </cell>
          <cell r="F174" t="str">
            <v>S1 サーバ</v>
          </cell>
          <cell r="G174">
            <v>0</v>
          </cell>
          <cell r="H174">
            <v>310430</v>
          </cell>
          <cell r="I174">
            <v>0</v>
          </cell>
          <cell r="J174">
            <v>93424</v>
          </cell>
          <cell r="K174">
            <v>0</v>
          </cell>
          <cell r="L174">
            <v>16600</v>
          </cell>
        </row>
        <row r="175">
          <cell r="B175" t="str">
            <v>R610(Type-B)</v>
          </cell>
          <cell r="C175" t="str">
            <v>SS</v>
          </cell>
          <cell r="D175" t="str">
            <v>IBM</v>
          </cell>
          <cell r="E175" t="str">
            <v>HW</v>
          </cell>
          <cell r="F175" t="str">
            <v>S1 サーバ</v>
          </cell>
          <cell r="G175">
            <v>0</v>
          </cell>
          <cell r="H175">
            <v>519127</v>
          </cell>
          <cell r="I175">
            <v>0</v>
          </cell>
          <cell r="J175">
            <v>93424</v>
          </cell>
          <cell r="K175">
            <v>0</v>
          </cell>
          <cell r="L175">
            <v>16600</v>
          </cell>
        </row>
        <row r="176">
          <cell r="B176" t="str">
            <v xml:space="preserve">Red Hat Enterprise Linux Server; Premium </v>
          </cell>
          <cell r="C176" t="str">
            <v>SS</v>
          </cell>
          <cell r="D176" t="str">
            <v>RHEL</v>
          </cell>
          <cell r="E176" t="str">
            <v>SW</v>
          </cell>
          <cell r="F176" t="str">
            <v>S9 サーバOS - RHEL</v>
          </cell>
          <cell r="G176">
            <v>422400</v>
          </cell>
          <cell r="H176">
            <v>274560</v>
          </cell>
          <cell r="I176">
            <v>0</v>
          </cell>
          <cell r="J176">
            <v>0</v>
          </cell>
          <cell r="K176">
            <v>422400</v>
          </cell>
          <cell r="L176">
            <v>274560</v>
          </cell>
        </row>
        <row r="177">
          <cell r="B177" t="str">
            <v>Red Hat Network Satellite Starter Pack</v>
          </cell>
          <cell r="C177" t="str">
            <v>SS</v>
          </cell>
          <cell r="D177" t="str">
            <v>RedHat</v>
          </cell>
          <cell r="E177" t="str">
            <v>SW</v>
          </cell>
          <cell r="F177" t="str">
            <v>S9 サーバOS - RHEL</v>
          </cell>
          <cell r="G177">
            <v>649900</v>
          </cell>
          <cell r="H177">
            <v>422435</v>
          </cell>
          <cell r="I177">
            <v>0</v>
          </cell>
          <cell r="J177">
            <v>0</v>
          </cell>
          <cell r="K177">
            <v>1300000</v>
          </cell>
          <cell r="L177">
            <v>845000</v>
          </cell>
        </row>
        <row r="178">
          <cell r="B178" t="str">
            <v>RHEL (1-2Socket) Standard 1年新規</v>
          </cell>
          <cell r="C178" t="str">
            <v>SS</v>
          </cell>
          <cell r="D178" t="str">
            <v>RedHat</v>
          </cell>
          <cell r="E178" t="str">
            <v>SW</v>
          </cell>
          <cell r="F178" t="str">
            <v>S9 サーバOS - RHEL</v>
          </cell>
          <cell r="G178">
            <v>163000</v>
          </cell>
          <cell r="H178">
            <v>105950</v>
          </cell>
          <cell r="I178">
            <v>0</v>
          </cell>
          <cell r="J178">
            <v>0</v>
          </cell>
          <cell r="K178">
            <v>163000</v>
          </cell>
          <cell r="L178">
            <v>105950</v>
          </cell>
        </row>
        <row r="179">
          <cell r="B179" t="str">
            <v>RHEL Certified Cloud Provider Program</v>
          </cell>
          <cell r="C179" t="str">
            <v>SS</v>
          </cell>
          <cell r="D179" t="str">
            <v>RedHat</v>
          </cell>
          <cell r="E179" t="str">
            <v>SW</v>
          </cell>
          <cell r="F179" t="str">
            <v>S9 サーバOS - RHEL</v>
          </cell>
          <cell r="G179">
            <v>0</v>
          </cell>
          <cell r="H179">
            <v>8000000</v>
          </cell>
          <cell r="I179">
            <v>0</v>
          </cell>
          <cell r="J179">
            <v>0</v>
          </cell>
          <cell r="K179">
            <v>0</v>
          </cell>
          <cell r="L179">
            <v>8000000</v>
          </cell>
        </row>
        <row r="180">
          <cell r="B180" t="str">
            <v>RTX1200</v>
          </cell>
          <cell r="C180" t="str">
            <v>NW</v>
          </cell>
          <cell r="D180" t="str">
            <v>Yamaha</v>
          </cell>
          <cell r="E180" t="str">
            <v>HW</v>
          </cell>
          <cell r="F180" t="str">
            <v>N2 周辺スイッチ</v>
          </cell>
          <cell r="G180">
            <v>123900</v>
          </cell>
          <cell r="H180">
            <v>61950</v>
          </cell>
          <cell r="I180">
            <v>24780</v>
          </cell>
          <cell r="J180">
            <v>19824</v>
          </cell>
          <cell r="K180">
            <v>24780</v>
          </cell>
          <cell r="L180">
            <v>19824</v>
          </cell>
        </row>
        <row r="181">
          <cell r="B181" t="str">
            <v>RTX1200</v>
          </cell>
          <cell r="C181" t="str">
            <v>NW</v>
          </cell>
          <cell r="D181" t="str">
            <v>Yamaha</v>
          </cell>
          <cell r="E181" t="str">
            <v>HW</v>
          </cell>
          <cell r="F181" t="str">
            <v>N2 周辺スイッチ</v>
          </cell>
          <cell r="G181">
            <v>123900</v>
          </cell>
          <cell r="H181">
            <v>61950</v>
          </cell>
          <cell r="I181">
            <v>24780</v>
          </cell>
          <cell r="J181">
            <v>19824</v>
          </cell>
          <cell r="K181">
            <v>24780</v>
          </cell>
          <cell r="L181">
            <v>19824</v>
          </cell>
        </row>
        <row r="182">
          <cell r="B182" t="str">
            <v>SecureCube(Winオプション込み)検証</v>
          </cell>
          <cell r="C182" t="str">
            <v>SS</v>
          </cell>
          <cell r="D182" t="str">
            <v>NRIセキュアテクノロジーズ</v>
          </cell>
          <cell r="E182" t="str">
            <v>SW</v>
          </cell>
          <cell r="F182" t="str">
            <v>S16 アクセス制御・監査ツール</v>
          </cell>
          <cell r="G182">
            <v>6800000</v>
          </cell>
          <cell r="H182">
            <v>4080000</v>
          </cell>
          <cell r="I182">
            <v>1360000</v>
          </cell>
          <cell r="J182">
            <v>1292000</v>
          </cell>
          <cell r="K182">
            <v>1360000</v>
          </cell>
          <cell r="L182">
            <v>1292000</v>
          </cell>
        </row>
        <row r="183">
          <cell r="B183" t="str">
            <v>SecureCube(Winオプション込み)本番</v>
          </cell>
          <cell r="C183" t="str">
            <v>SS</v>
          </cell>
          <cell r="D183" t="str">
            <v>NRIセキュアテクノロジーズ</v>
          </cell>
          <cell r="E183" t="str">
            <v>SW</v>
          </cell>
          <cell r="F183" t="str">
            <v>S16 アクセス制御・監査ツール</v>
          </cell>
          <cell r="G183">
            <v>11050000</v>
          </cell>
          <cell r="H183">
            <v>9160000</v>
          </cell>
          <cell r="I183">
            <v>1890000</v>
          </cell>
          <cell r="J183">
            <v>1795500</v>
          </cell>
          <cell r="K183">
            <v>1890000</v>
          </cell>
          <cell r="L183">
            <v>1795500</v>
          </cell>
        </row>
        <row r="184">
          <cell r="B184" t="str">
            <v>sFlow Collector</v>
          </cell>
          <cell r="C184" t="str">
            <v>NW</v>
          </cell>
          <cell r="D184" t="str">
            <v>Zoho</v>
          </cell>
          <cell r="E184" t="str">
            <v>SW</v>
          </cell>
          <cell r="F184" t="str">
            <v>N13 トラフィックアナライザ</v>
          </cell>
          <cell r="G184">
            <v>150000</v>
          </cell>
          <cell r="H184">
            <v>120000</v>
          </cell>
          <cell r="I184">
            <v>30000</v>
          </cell>
          <cell r="J184">
            <v>30000</v>
          </cell>
          <cell r="K184">
            <v>30000</v>
          </cell>
          <cell r="L184">
            <v>30000</v>
          </cell>
        </row>
        <row r="185">
          <cell r="B185" t="str">
            <v>SII SmartCS NS-2240-32(コンソールサーバ)</v>
          </cell>
          <cell r="C185" t="str">
            <v>NW</v>
          </cell>
          <cell r="D185" t="str">
            <v>SII</v>
          </cell>
          <cell r="E185" t="str">
            <v>HW</v>
          </cell>
          <cell r="F185" t="str">
            <v>N11 物理シリアルコンソール</v>
          </cell>
          <cell r="G185">
            <v>400000</v>
          </cell>
          <cell r="H185">
            <v>549700</v>
          </cell>
          <cell r="I185">
            <v>80000</v>
          </cell>
          <cell r="J185">
            <v>72000</v>
          </cell>
          <cell r="K185">
            <v>80000</v>
          </cell>
          <cell r="L185">
            <v>72000</v>
          </cell>
        </row>
        <row r="186">
          <cell r="B186" t="str">
            <v>Smart Management (1台)</v>
          </cell>
          <cell r="C186" t="str">
            <v>SS</v>
          </cell>
          <cell r="D186" t="str">
            <v>RedHat</v>
          </cell>
          <cell r="E186" t="str">
            <v>SW</v>
          </cell>
          <cell r="F186" t="str">
            <v>S9 サーバOS - RHEL</v>
          </cell>
          <cell r="G186">
            <v>25000</v>
          </cell>
          <cell r="H186">
            <v>16250</v>
          </cell>
          <cell r="I186">
            <v>0</v>
          </cell>
          <cell r="J186">
            <v>0</v>
          </cell>
          <cell r="K186">
            <v>25000</v>
          </cell>
          <cell r="L186">
            <v>16250</v>
          </cell>
        </row>
        <row r="187">
          <cell r="B187" t="str">
            <v>Smart Management (無制限)</v>
          </cell>
          <cell r="C187" t="str">
            <v>SS</v>
          </cell>
          <cell r="D187" t="str">
            <v>RedHat</v>
          </cell>
          <cell r="E187" t="str">
            <v>SW</v>
          </cell>
          <cell r="F187" t="str">
            <v>S9 サーバOS - RHEL</v>
          </cell>
          <cell r="G187">
            <v>74900</v>
          </cell>
          <cell r="H187">
            <v>48685</v>
          </cell>
          <cell r="I187">
            <v>0</v>
          </cell>
          <cell r="J187">
            <v>0</v>
          </cell>
          <cell r="K187">
            <v>74900</v>
          </cell>
          <cell r="L187">
            <v>48685</v>
          </cell>
        </row>
        <row r="188">
          <cell r="B188" t="str">
            <v>SonicWALLSRA 10user license(max 50 user)</v>
          </cell>
          <cell r="C188" t="str">
            <v>NW</v>
          </cell>
          <cell r="D188" t="str">
            <v>Sonicwall</v>
          </cell>
          <cell r="E188" t="str">
            <v>SW</v>
          </cell>
          <cell r="F188" t="str">
            <v>N8 SSL-VPN</v>
          </cell>
          <cell r="G188">
            <v>100000</v>
          </cell>
          <cell r="H188">
            <v>60000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</row>
        <row r="189">
          <cell r="B189" t="str">
            <v>SonicWallSRA VA(1VA)</v>
          </cell>
          <cell r="C189" t="str">
            <v>NW</v>
          </cell>
          <cell r="D189" t="str">
            <v>Sonicwall</v>
          </cell>
          <cell r="E189" t="str">
            <v>SW</v>
          </cell>
          <cell r="F189" t="str">
            <v>N8 SSL-VPN</v>
          </cell>
          <cell r="G189">
            <v>100000</v>
          </cell>
          <cell r="H189">
            <v>80000</v>
          </cell>
          <cell r="I189">
            <v>60000</v>
          </cell>
          <cell r="J189">
            <v>48000</v>
          </cell>
          <cell r="K189">
            <v>60000</v>
          </cell>
          <cell r="L189">
            <v>48000</v>
          </cell>
        </row>
        <row r="190">
          <cell r="B190" t="str">
            <v>SonicWallSRA VA(1VA/10user)</v>
          </cell>
          <cell r="C190" t="str">
            <v>NW</v>
          </cell>
          <cell r="D190" t="str">
            <v>Sonicwall</v>
          </cell>
          <cell r="E190" t="str">
            <v>SW</v>
          </cell>
          <cell r="F190" t="str">
            <v>N8 SSL-VPN</v>
          </cell>
          <cell r="G190">
            <v>325000</v>
          </cell>
          <cell r="H190">
            <v>220000</v>
          </cell>
          <cell r="I190">
            <v>70000</v>
          </cell>
          <cell r="J190">
            <v>58000</v>
          </cell>
          <cell r="K190">
            <v>125000</v>
          </cell>
          <cell r="L190">
            <v>88000</v>
          </cell>
        </row>
        <row r="191">
          <cell r="B191" t="str">
            <v>SonicWallSRA VA(1VA/20user)</v>
          </cell>
          <cell r="C191" t="str">
            <v>NW</v>
          </cell>
          <cell r="D191" t="str">
            <v>Sonicwall</v>
          </cell>
          <cell r="E191" t="str">
            <v>SW</v>
          </cell>
          <cell r="F191" t="str">
            <v>N8 SSL-VPN</v>
          </cell>
          <cell r="G191">
            <v>495000</v>
          </cell>
          <cell r="H191">
            <v>350000</v>
          </cell>
          <cell r="I191">
            <v>140000</v>
          </cell>
          <cell r="J191">
            <v>116000</v>
          </cell>
          <cell r="K191">
            <v>195000</v>
          </cell>
          <cell r="L191">
            <v>146000</v>
          </cell>
        </row>
        <row r="192">
          <cell r="B192" t="str">
            <v>SQL Server CPU Lic</v>
          </cell>
          <cell r="C192" t="str">
            <v>SS</v>
          </cell>
          <cell r="D192" t="str">
            <v>Microsoft</v>
          </cell>
          <cell r="E192" t="str">
            <v>SW</v>
          </cell>
          <cell r="F192" t="str">
            <v>S7 Hypevisor</v>
          </cell>
          <cell r="G192">
            <v>1142790</v>
          </cell>
          <cell r="H192">
            <v>833364</v>
          </cell>
          <cell r="I192">
            <v>0</v>
          </cell>
          <cell r="J192">
            <v>0</v>
          </cell>
          <cell r="K192">
            <v>380940</v>
          </cell>
          <cell r="L192">
            <v>380940</v>
          </cell>
        </row>
        <row r="193">
          <cell r="B193" t="str">
            <v>SQL Server CPU Lic（DeepSecurity用）</v>
          </cell>
          <cell r="C193" t="str">
            <v>SS</v>
          </cell>
          <cell r="D193" t="str">
            <v>Microsoft</v>
          </cell>
          <cell r="E193" t="str">
            <v>SW</v>
          </cell>
          <cell r="F193" t="str">
            <v>S10 ウイルススキャン</v>
          </cell>
          <cell r="G193">
            <v>1142790</v>
          </cell>
          <cell r="H193">
            <v>833364</v>
          </cell>
          <cell r="I193">
            <v>0</v>
          </cell>
          <cell r="J193">
            <v>0</v>
          </cell>
          <cell r="K193">
            <v>380940</v>
          </cell>
          <cell r="L193">
            <v>380940</v>
          </cell>
        </row>
        <row r="194">
          <cell r="B194" t="str">
            <v>SRX100-B</v>
          </cell>
          <cell r="C194" t="str">
            <v>NW</v>
          </cell>
          <cell r="D194" t="str">
            <v>Juniper</v>
          </cell>
          <cell r="E194" t="str">
            <v>HW</v>
          </cell>
          <cell r="F194" t="str">
            <v>N2 周辺スイッチ</v>
          </cell>
          <cell r="G194">
            <v>125900</v>
          </cell>
          <cell r="H194">
            <v>30216</v>
          </cell>
          <cell r="I194">
            <v>25180</v>
          </cell>
          <cell r="J194">
            <v>17626</v>
          </cell>
          <cell r="K194">
            <v>25180</v>
          </cell>
          <cell r="L194">
            <v>17626</v>
          </cell>
        </row>
        <row r="195">
          <cell r="B195" t="str">
            <v>SSエンジニアリング(1/2CU)abs2.0必須</v>
          </cell>
          <cell r="C195" t="str">
            <v>SS</v>
          </cell>
          <cell r="D195" t="str">
            <v>NSSOL</v>
          </cell>
          <cell r="E195" t="str">
            <v>ENG</v>
          </cell>
          <cell r="F195" t="str">
            <v>SE サーバ・ストレージエンジ費</v>
          </cell>
          <cell r="G195">
            <v>176374.23594942971</v>
          </cell>
          <cell r="H195">
            <v>176374.23594942971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</row>
        <row r="196">
          <cell r="B196" t="str">
            <v>SSエンジニアリング(1/2CU)リソース/WSUS, YUM, SMTP</v>
          </cell>
          <cell r="C196" t="str">
            <v>SS</v>
          </cell>
          <cell r="D196" t="str">
            <v>NSSOL</v>
          </cell>
          <cell r="E196" t="str">
            <v>ENG</v>
          </cell>
          <cell r="F196" t="str">
            <v>SE サーバ・ストレージエンジ費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</row>
        <row r="197">
          <cell r="B197" t="str">
            <v>SSエンジニアリング(1/2CU)リソース/テープドライブ</v>
          </cell>
          <cell r="C197" t="str">
            <v>SS</v>
          </cell>
          <cell r="D197" t="str">
            <v>NSSOL</v>
          </cell>
          <cell r="E197" t="str">
            <v>ENG</v>
          </cell>
          <cell r="F197" t="str">
            <v>SE サーバ・ストレージエンジ費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</row>
        <row r="198">
          <cell r="B198" t="str">
            <v>SSエンジニアリング(1/2CU)連携/DR@hybrid</v>
          </cell>
          <cell r="C198" t="str">
            <v>SS</v>
          </cell>
          <cell r="D198" t="str">
            <v>NSSOL</v>
          </cell>
          <cell r="E198" t="str">
            <v>ENG</v>
          </cell>
          <cell r="F198" t="str">
            <v>SE サーバ・ストレージエンジ費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</row>
        <row r="199">
          <cell r="B199" t="str">
            <v>SSエンジニアリング(1/2CU)連携/DR@大阪/AWS</v>
          </cell>
          <cell r="C199" t="str">
            <v>SS</v>
          </cell>
          <cell r="D199" t="str">
            <v>NSSOL</v>
          </cell>
          <cell r="E199" t="str">
            <v>ENG</v>
          </cell>
          <cell r="F199" t="str">
            <v>SE サーバ・ストレージエンジ費</v>
          </cell>
          <cell r="G199">
            <v>145654.05405405405</v>
          </cell>
          <cell r="H199">
            <v>145654.05405405405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</row>
        <row r="200">
          <cell r="B200" t="str">
            <v>SSエンジニアリング(1/2CU)連携/SDLC@hybrid</v>
          </cell>
          <cell r="C200" t="str">
            <v>SS</v>
          </cell>
          <cell r="D200" t="str">
            <v>NSSOL</v>
          </cell>
          <cell r="E200" t="str">
            <v>ENG</v>
          </cell>
          <cell r="F200" t="str">
            <v>SE サーバ・ストレージエンジ費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</row>
        <row r="201">
          <cell r="B201" t="str">
            <v>SSエンジニアリング(1/2CU)連携/システムDR</v>
          </cell>
          <cell r="C201" t="str">
            <v>SS</v>
          </cell>
          <cell r="D201" t="str">
            <v>NSSOL</v>
          </cell>
          <cell r="E201" t="str">
            <v>ENG</v>
          </cell>
          <cell r="F201" t="str">
            <v>SE サーバ・ストレージエンジ費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</row>
        <row r="202">
          <cell r="B202" t="str">
            <v>SSエンジニアリング(1/4CU)abs2.0必須</v>
          </cell>
          <cell r="C202" t="str">
            <v>SS</v>
          </cell>
          <cell r="D202" t="str">
            <v>NSSOL</v>
          </cell>
          <cell r="E202" t="str">
            <v>ENG</v>
          </cell>
          <cell r="F202" t="str">
            <v>SE サーバ・ストレージエンジ費</v>
          </cell>
          <cell r="G202">
            <v>1912412.8753032645</v>
          </cell>
          <cell r="H202">
            <v>1912412.8753032645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</row>
        <row r="203">
          <cell r="B203" t="str">
            <v>SSエンジニアリング(1/4CU)リソース/WSUS, YUM, SMTP</v>
          </cell>
          <cell r="C203" t="str">
            <v>SS</v>
          </cell>
          <cell r="D203" t="str">
            <v>NSSOL</v>
          </cell>
          <cell r="E203" t="str">
            <v>ENG</v>
          </cell>
          <cell r="F203" t="str">
            <v>SE サーバ・ストレージエンジ費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</row>
        <row r="204">
          <cell r="B204" t="str">
            <v>SSエンジニアリング(1/4CU)リソース/テープドライブ</v>
          </cell>
          <cell r="C204" t="str">
            <v>SS</v>
          </cell>
          <cell r="D204" t="str">
            <v>NSSOL</v>
          </cell>
          <cell r="E204" t="str">
            <v>ENG</v>
          </cell>
          <cell r="F204" t="str">
            <v>SE サーバ・ストレージエンジ費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</row>
        <row r="205">
          <cell r="B205" t="str">
            <v>SSエンジニアリング(1/4CU)連携/DR@hybrid</v>
          </cell>
          <cell r="C205" t="str">
            <v>SS</v>
          </cell>
          <cell r="D205" t="str">
            <v>NSSOL</v>
          </cell>
          <cell r="E205" t="str">
            <v>ENG</v>
          </cell>
          <cell r="F205" t="str">
            <v>SE サーバ・ストレージエンジ費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</row>
        <row r="206">
          <cell r="B206" t="str">
            <v>SSエンジニアリング(1/4CU)連携/DR@大阪/AWS</v>
          </cell>
          <cell r="C206" t="str">
            <v>SS</v>
          </cell>
          <cell r="D206" t="str">
            <v>NSSOL</v>
          </cell>
          <cell r="E206" t="str">
            <v>ENG</v>
          </cell>
          <cell r="F206" t="str">
            <v>SE サーバ・ストレージエンジ費</v>
          </cell>
          <cell r="G206">
            <v>339859.45945945941</v>
          </cell>
          <cell r="H206">
            <v>339859.45945945941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</row>
        <row r="207">
          <cell r="B207" t="str">
            <v>SSエンジニアリング(1/4CU)連携/SDLC@hybrid</v>
          </cell>
          <cell r="C207" t="str">
            <v>SS</v>
          </cell>
          <cell r="D207" t="str">
            <v>NSSOL</v>
          </cell>
          <cell r="E207" t="str">
            <v>ENG</v>
          </cell>
          <cell r="F207" t="str">
            <v>SE サーバ・ストレージエンジ費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</row>
        <row r="208">
          <cell r="B208" t="str">
            <v>SSエンジニアリング(1/4CU)連携/システムDR</v>
          </cell>
          <cell r="C208" t="str">
            <v>SS</v>
          </cell>
          <cell r="D208" t="str">
            <v>NSSOL</v>
          </cell>
          <cell r="E208" t="str">
            <v>ENG</v>
          </cell>
          <cell r="F208" t="str">
            <v>SE サーバ・ストレージエンジ費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</row>
        <row r="209">
          <cell r="B209" t="str">
            <v>SSエンジニアリング(1/8CU)abs2.0必須</v>
          </cell>
          <cell r="C209" t="str">
            <v>SS</v>
          </cell>
          <cell r="D209" t="str">
            <v>NSSOL</v>
          </cell>
          <cell r="E209" t="str">
            <v>ENG</v>
          </cell>
          <cell r="F209" t="str">
            <v>SE サーバ・ストレージエンジ費</v>
          </cell>
          <cell r="G209">
            <v>2431159.4289561934</v>
          </cell>
          <cell r="H209">
            <v>2431159.4289561934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</row>
        <row r="210">
          <cell r="B210" t="str">
            <v>SSエンジニアリング(1/8CU)リソース/WSUS, YUM, SMTP</v>
          </cell>
          <cell r="C210" t="str">
            <v>SS</v>
          </cell>
          <cell r="D210" t="str">
            <v>NSSOL</v>
          </cell>
          <cell r="E210" t="str">
            <v>ENG</v>
          </cell>
          <cell r="F210" t="str">
            <v>SE サーバ・ストレージエンジ費</v>
          </cell>
          <cell r="G210">
            <v>527063.79865135648</v>
          </cell>
          <cell r="H210">
            <v>527063.79865135648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</row>
        <row r="211">
          <cell r="B211" t="str">
            <v>SSエンジニアリング(1/8CU)リソース/テープドライブ</v>
          </cell>
          <cell r="C211" t="str">
            <v>SS</v>
          </cell>
          <cell r="D211" t="str">
            <v>NSSOL</v>
          </cell>
          <cell r="E211" t="str">
            <v>ENG</v>
          </cell>
          <cell r="F211" t="str">
            <v>SE サーバ・ストレージエンジ費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</row>
        <row r="212">
          <cell r="B212" t="str">
            <v>SSエンジニアリング(1/8CU)連携/DR@hybrid</v>
          </cell>
          <cell r="C212" t="str">
            <v>SS</v>
          </cell>
          <cell r="D212" t="str">
            <v>NSSOL</v>
          </cell>
          <cell r="E212" t="str">
            <v>ENG</v>
          </cell>
          <cell r="F212" t="str">
            <v>SE サーバ・ストレージエンジ費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</row>
        <row r="213">
          <cell r="B213" t="str">
            <v>SSエンジニアリング(1/8CU)連携/DR@大阪/AWS</v>
          </cell>
          <cell r="C213" t="str">
            <v>SS</v>
          </cell>
          <cell r="D213" t="str">
            <v>NSSOL</v>
          </cell>
          <cell r="E213" t="str">
            <v>ENG</v>
          </cell>
          <cell r="F213" t="str">
            <v>SE サーバ・ストレージエンジ費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</row>
        <row r="214">
          <cell r="B214" t="str">
            <v>SSエンジニアリング(1/8CU)連携/SDLC@hybrid</v>
          </cell>
          <cell r="C214" t="str">
            <v>SS</v>
          </cell>
          <cell r="D214" t="str">
            <v>NSSOL</v>
          </cell>
          <cell r="E214" t="str">
            <v>ENG</v>
          </cell>
          <cell r="F214" t="str">
            <v>SE サーバ・ストレージエンジ費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</row>
        <row r="215">
          <cell r="B215" t="str">
            <v>SSエンジニアリング(1/8CU)連携/システムDR</v>
          </cell>
          <cell r="C215" t="str">
            <v>SS</v>
          </cell>
          <cell r="D215" t="str">
            <v>NSSOL</v>
          </cell>
          <cell r="E215" t="str">
            <v>ENG</v>
          </cell>
          <cell r="F215" t="str">
            <v>SE サーバ・ストレージエンジ費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</row>
        <row r="216">
          <cell r="B216" t="str">
            <v>SSエンジニアリング(1CU)abs2.0必須</v>
          </cell>
          <cell r="C216" t="str">
            <v>SS</v>
          </cell>
          <cell r="D216" t="str">
            <v>NSSOL</v>
          </cell>
          <cell r="E216" t="str">
            <v>ENG</v>
          </cell>
          <cell r="F216" t="str">
            <v>SE サーバ・ストレージエンジ費</v>
          </cell>
          <cell r="G216">
            <v>4221667.7814927464</v>
          </cell>
          <cell r="H216">
            <v>4221667.7814927464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</row>
        <row r="217">
          <cell r="B217" t="str">
            <v>SSエンジニアリング(1CU)リソース/WSUS, YUM, SMTP</v>
          </cell>
          <cell r="C217" t="str">
            <v>SS</v>
          </cell>
          <cell r="D217" t="str">
            <v>NSSOL</v>
          </cell>
          <cell r="E217" t="str">
            <v>ENG</v>
          </cell>
          <cell r="F217" t="str">
            <v>SE サーバ・ストレージエンジ費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</row>
        <row r="218">
          <cell r="B218" t="str">
            <v>SSエンジニアリング(1CU)リソース/テープドライブ</v>
          </cell>
          <cell r="C218" t="str">
            <v>SS</v>
          </cell>
          <cell r="D218" t="str">
            <v>NSSOL</v>
          </cell>
          <cell r="E218" t="str">
            <v>ENG</v>
          </cell>
          <cell r="F218" t="str">
            <v>SE サーバ・ストレージエンジ費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</row>
        <row r="219">
          <cell r="B219" t="str">
            <v>SSエンジニアリング(1CU)連携/DR@hybrid</v>
          </cell>
          <cell r="C219" t="str">
            <v>SS</v>
          </cell>
          <cell r="D219" t="str">
            <v>NSSOL</v>
          </cell>
          <cell r="E219" t="str">
            <v>ENG</v>
          </cell>
          <cell r="F219" t="str">
            <v>SE サーバ・ストレージエンジ費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</row>
        <row r="220">
          <cell r="B220" t="str">
            <v>SSエンジニアリング(1CU)連携/DR@大阪/AWS</v>
          </cell>
          <cell r="C220" t="str">
            <v>SS</v>
          </cell>
          <cell r="D220" t="str">
            <v>NSSOL</v>
          </cell>
          <cell r="E220" t="str">
            <v>ENG</v>
          </cell>
          <cell r="F220" t="str">
            <v>SE サーバ・ストレージエンジ費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</row>
        <row r="221">
          <cell r="B221" t="str">
            <v>SSエンジニアリング(1CU)連携/SDLC@hybrid</v>
          </cell>
          <cell r="C221" t="str">
            <v>SS</v>
          </cell>
          <cell r="D221" t="str">
            <v>NSSOL</v>
          </cell>
          <cell r="E221" t="str">
            <v>ENG</v>
          </cell>
          <cell r="F221" t="str">
            <v>SE サーバ・ストレージエンジ費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</row>
        <row r="222">
          <cell r="B222" t="str">
            <v>SSエンジニアリング(1CU)連携/システムDR</v>
          </cell>
          <cell r="C222" t="str">
            <v>SS</v>
          </cell>
          <cell r="D222" t="str">
            <v>NSSOL</v>
          </cell>
          <cell r="E222" t="str">
            <v>ENG</v>
          </cell>
          <cell r="F222" t="str">
            <v>SE サーバ・ストレージエンジ費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</row>
        <row r="223">
          <cell r="B223" t="str">
            <v>SSエンジニアリング(abs2.0全体)abs2.0必須</v>
          </cell>
          <cell r="C223" t="str">
            <v>SS</v>
          </cell>
          <cell r="D223" t="str">
            <v>NSSOL</v>
          </cell>
          <cell r="E223" t="str">
            <v>ENG</v>
          </cell>
          <cell r="F223" t="str">
            <v>SE サーバ・ストレージエンジ費</v>
          </cell>
          <cell r="G223">
            <v>2295881.8985004863</v>
          </cell>
          <cell r="H223">
            <v>2295881.8985004863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</row>
        <row r="224">
          <cell r="B224" t="str">
            <v>SSエンジニアリング(abs2.0全体)リソース/WSUS, YUM, SMTP</v>
          </cell>
          <cell r="C224" t="str">
            <v>SS</v>
          </cell>
          <cell r="D224" t="str">
            <v>NSSOL</v>
          </cell>
          <cell r="E224" t="str">
            <v>ENG</v>
          </cell>
          <cell r="F224" t="str">
            <v>SE サーバ・ストレージエンジ費</v>
          </cell>
          <cell r="G224">
            <v>527063.79865135648</v>
          </cell>
          <cell r="H224">
            <v>527063.79865135648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</row>
        <row r="225">
          <cell r="B225" t="str">
            <v>SSエンジニアリング(abs2.0全体)リソース/テープドライブ</v>
          </cell>
          <cell r="C225" t="str">
            <v>SS</v>
          </cell>
          <cell r="D225" t="str">
            <v>NSSOL</v>
          </cell>
          <cell r="E225" t="str">
            <v>ENG</v>
          </cell>
          <cell r="F225" t="str">
            <v>SE サーバ・ストレージエンジ費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</row>
        <row r="226">
          <cell r="B226" t="str">
            <v>SSエンジニアリング(abs2.0全体)連携/DR@hybrid</v>
          </cell>
          <cell r="C226" t="str">
            <v>SS</v>
          </cell>
          <cell r="D226" t="str">
            <v>NSSOL</v>
          </cell>
          <cell r="E226" t="str">
            <v>ENG</v>
          </cell>
          <cell r="F226" t="str">
            <v>SE サーバ・ストレージエンジ費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</row>
        <row r="227">
          <cell r="B227" t="str">
            <v>SSエンジニアリング(abs2.0全体)連携/DR@大阪/AWS</v>
          </cell>
          <cell r="C227" t="str">
            <v>SS</v>
          </cell>
          <cell r="D227" t="str">
            <v>NSSOL</v>
          </cell>
          <cell r="E227" t="str">
            <v>ENG</v>
          </cell>
          <cell r="F227" t="str">
            <v>SE サーバ・ストレージエンジ費</v>
          </cell>
          <cell r="G227">
            <v>97102.702702702692</v>
          </cell>
          <cell r="H227">
            <v>97102.702702702692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</row>
        <row r="228">
          <cell r="B228" t="str">
            <v>SSエンジニアリング(abs2.0全体)連携/SDLC@hybrid</v>
          </cell>
          <cell r="C228" t="str">
            <v>SS</v>
          </cell>
          <cell r="D228" t="str">
            <v>NSSOL</v>
          </cell>
          <cell r="E228" t="str">
            <v>ENG</v>
          </cell>
          <cell r="F228" t="str">
            <v>SE サーバ・ストレージエンジ費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</row>
        <row r="229">
          <cell r="B229" t="str">
            <v>SSエンジニアリング(abs2.0全体)連携/システムDR</v>
          </cell>
          <cell r="C229" t="str">
            <v>SS</v>
          </cell>
          <cell r="D229" t="str">
            <v>NSSOL</v>
          </cell>
          <cell r="E229" t="str">
            <v>ENG</v>
          </cell>
          <cell r="F229" t="str">
            <v>SE サーバ・ストレージエンジ費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</row>
        <row r="230">
          <cell r="B230" t="str">
            <v>SSエンジニアリング(検証)abs2.0必須</v>
          </cell>
          <cell r="C230" t="str">
            <v>SS</v>
          </cell>
          <cell r="D230" t="str">
            <v>NSSOL</v>
          </cell>
          <cell r="E230" t="str">
            <v>ENG</v>
          </cell>
          <cell r="F230" t="str">
            <v>SE サーバ・ストレージエンジ費</v>
          </cell>
          <cell r="G230">
            <v>8226300</v>
          </cell>
          <cell r="H230">
            <v>8226300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</row>
        <row r="231">
          <cell r="B231" t="str">
            <v>SSエンジニアリング(検証)リソース/WSUS, YUM, SMTP</v>
          </cell>
          <cell r="C231" t="str">
            <v>SS</v>
          </cell>
          <cell r="D231" t="str">
            <v>NSSOL</v>
          </cell>
          <cell r="E231" t="str">
            <v>ENG</v>
          </cell>
          <cell r="F231" t="str">
            <v>SE サーバ・ストレージエンジ費</v>
          </cell>
          <cell r="G231">
            <v>1613000</v>
          </cell>
          <cell r="H231">
            <v>1613000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</row>
        <row r="232">
          <cell r="B232" t="str">
            <v>SSエンジニアリング(検証)リソース/テープドライブ</v>
          </cell>
          <cell r="C232" t="str">
            <v>SS</v>
          </cell>
          <cell r="D232" t="str">
            <v>NSSOL</v>
          </cell>
          <cell r="E232" t="str">
            <v>ENG</v>
          </cell>
          <cell r="F232" t="str">
            <v>SE サーバ・ストレージエンジ費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</row>
        <row r="233">
          <cell r="B233" t="str">
            <v>SSエンジニアリング(検証)連携/DR@hybrid</v>
          </cell>
          <cell r="C233" t="str">
            <v>SS</v>
          </cell>
          <cell r="D233" t="str">
            <v>NSSOL</v>
          </cell>
          <cell r="E233" t="str">
            <v>ENG</v>
          </cell>
          <cell r="F233" t="str">
            <v>SE サーバ・ストレージエンジ費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</row>
        <row r="234">
          <cell r="B234" t="str">
            <v>SSエンジニアリング(検証)連携/DR@大阪/AWS</v>
          </cell>
          <cell r="C234" t="str">
            <v>SS</v>
          </cell>
          <cell r="D234" t="str">
            <v>NSSOL</v>
          </cell>
          <cell r="E234" t="str">
            <v>ENG</v>
          </cell>
          <cell r="F234" t="str">
            <v>SE サーバ・ストレージエンジ費</v>
          </cell>
          <cell r="G234">
            <v>1290400</v>
          </cell>
          <cell r="H234">
            <v>1290400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</row>
        <row r="235">
          <cell r="B235" t="str">
            <v>SSエンジニアリング(検証)連携/SDLC@hybrid</v>
          </cell>
          <cell r="C235" t="str">
            <v>SS</v>
          </cell>
          <cell r="D235" t="str">
            <v>NSSOL</v>
          </cell>
          <cell r="E235" t="str">
            <v>ENG</v>
          </cell>
          <cell r="F235" t="str">
            <v>SE サーバ・ストレージエンジ費</v>
          </cell>
          <cell r="G235">
            <v>322600</v>
          </cell>
          <cell r="H235">
            <v>322600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</row>
        <row r="236">
          <cell r="B236" t="str">
            <v>SSエンジニアリング(設計)abs2.0必須</v>
          </cell>
          <cell r="C236" t="str">
            <v>SS</v>
          </cell>
          <cell r="D236" t="str">
            <v>NSSOL</v>
          </cell>
          <cell r="E236" t="str">
            <v>ENG</v>
          </cell>
          <cell r="F236" t="str">
            <v>SE サーバ・ストレージエンジ費</v>
          </cell>
          <cell r="G236">
            <v>57081703.779797867</v>
          </cell>
          <cell r="H236">
            <v>57081703.779797867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</row>
        <row r="237">
          <cell r="B237" t="str">
            <v>SSエンジニアリング(設計)リソース/WSUS, YUM, SMTP</v>
          </cell>
          <cell r="C237" t="str">
            <v>SS</v>
          </cell>
          <cell r="D237" t="str">
            <v>NSSOL</v>
          </cell>
          <cell r="E237" t="str">
            <v>ENG</v>
          </cell>
          <cell r="F237" t="str">
            <v>SE サーバ・ストレージエンジ費</v>
          </cell>
          <cell r="G237">
            <v>5435372.4026972856</v>
          </cell>
          <cell r="H237">
            <v>5435372.4026972856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</row>
        <row r="238">
          <cell r="B238" t="str">
            <v>SSエンジニアリング(設計)リソース/テープドライブ</v>
          </cell>
          <cell r="C238" t="str">
            <v>SS</v>
          </cell>
          <cell r="D238" t="str">
            <v>NSSOL</v>
          </cell>
          <cell r="E238" t="str">
            <v>ENG</v>
          </cell>
          <cell r="F238" t="str">
            <v>SE サーバ・ストレージエンジ費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</row>
        <row r="239">
          <cell r="B239" t="str">
            <v>SSエンジニアリング(設計)連携/DR@hybrid</v>
          </cell>
          <cell r="C239" t="str">
            <v>SS</v>
          </cell>
          <cell r="D239" t="str">
            <v>NSSOL</v>
          </cell>
          <cell r="E239" t="str">
            <v>ENG</v>
          </cell>
          <cell r="F239" t="str">
            <v>SE サーバ・ストレージエンジ費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</row>
        <row r="240">
          <cell r="B240" t="str">
            <v>SSエンジニアリング(設計)連携/DR@大阪/AWS</v>
          </cell>
          <cell r="C240" t="str">
            <v>SS</v>
          </cell>
          <cell r="D240" t="str">
            <v>NSSOL</v>
          </cell>
          <cell r="E240" t="str">
            <v>ENG</v>
          </cell>
          <cell r="F240" t="str">
            <v>SE サーバ・ストレージエンジ費</v>
          </cell>
          <cell r="G240">
            <v>3010183.7837837832</v>
          </cell>
          <cell r="H240">
            <v>3010183.7837837832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</row>
        <row r="241">
          <cell r="B241" t="str">
            <v>SSエンジニアリング(設計)連携/SDLC@hybrid</v>
          </cell>
          <cell r="C241" t="str">
            <v>SS</v>
          </cell>
          <cell r="D241" t="str">
            <v>NSSOL</v>
          </cell>
          <cell r="E241" t="str">
            <v>ENG</v>
          </cell>
          <cell r="F241" t="str">
            <v>SE サーバ・ストレージエンジ費</v>
          </cell>
          <cell r="G241">
            <v>1612999.9999999998</v>
          </cell>
          <cell r="H241">
            <v>1612999.9999999998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</row>
        <row r="242">
          <cell r="B242" t="str">
            <v>SSエンジニアリング(設計)連携/システムDR</v>
          </cell>
          <cell r="C242" t="str">
            <v>SS</v>
          </cell>
          <cell r="D242" t="str">
            <v>NSSOL</v>
          </cell>
          <cell r="E242" t="str">
            <v>ENG</v>
          </cell>
          <cell r="F242" t="str">
            <v>SE サーバ・ストレージエンジ費</v>
          </cell>
          <cell r="G242">
            <v>9306900</v>
          </cell>
          <cell r="H242">
            <v>9306900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</row>
        <row r="243">
          <cell r="B243" t="str">
            <v>Swiftwing Sirius LCS(オプション無し)</v>
          </cell>
          <cell r="C243" t="str">
            <v>NW</v>
          </cell>
          <cell r="D243" t="str">
            <v>Swiftwing</v>
          </cell>
          <cell r="E243" t="str">
            <v>HW</v>
          </cell>
          <cell r="F243" t="str">
            <v>N10 パケットキャプチャ</v>
          </cell>
          <cell r="G243">
            <v>12380000</v>
          </cell>
          <cell r="H243">
            <v>9285000</v>
          </cell>
          <cell r="I243">
            <v>0</v>
          </cell>
          <cell r="J243">
            <v>0</v>
          </cell>
          <cell r="K243">
            <v>1857000</v>
          </cell>
          <cell r="L243">
            <v>1390000</v>
          </cell>
        </row>
        <row r="244">
          <cell r="B244" t="str">
            <v>Swiftwing Sirius LCS+SFPP</v>
          </cell>
          <cell r="C244" t="str">
            <v>NW</v>
          </cell>
          <cell r="D244" t="str">
            <v>Swiftwing</v>
          </cell>
          <cell r="E244" t="str">
            <v>HW</v>
          </cell>
          <cell r="F244" t="str">
            <v>N10 パケットキャプチャ</v>
          </cell>
          <cell r="G244">
            <v>10140000</v>
          </cell>
          <cell r="H244">
            <v>8112000</v>
          </cell>
          <cell r="I244">
            <v>1521000</v>
          </cell>
          <cell r="J244">
            <v>1216800</v>
          </cell>
          <cell r="K244">
            <v>1521000</v>
          </cell>
          <cell r="L244">
            <v>1216800</v>
          </cell>
        </row>
        <row r="245">
          <cell r="B245" t="str">
            <v>TS2540 GPS タイプ(NTPサーバ)</v>
          </cell>
          <cell r="C245" t="str">
            <v>NW</v>
          </cell>
          <cell r="D245" t="str">
            <v>セイコープレシジョン</v>
          </cell>
          <cell r="E245" t="str">
            <v>HW</v>
          </cell>
          <cell r="F245" t="str">
            <v>N1 コアスイッチ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</row>
        <row r="246">
          <cell r="B246" t="str">
            <v>USBメモリ (HVインストール用)</v>
          </cell>
          <cell r="C246" t="str">
            <v>SS</v>
          </cell>
          <cell r="D246">
            <v>0</v>
          </cell>
          <cell r="E246" t="str">
            <v>HW</v>
          </cell>
          <cell r="F246" t="str">
            <v>S1 サーバ</v>
          </cell>
          <cell r="G246">
            <v>1000</v>
          </cell>
          <cell r="H246">
            <v>1000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</row>
        <row r="247">
          <cell r="B247" t="str">
            <v>vCenter HeartBeat</v>
          </cell>
          <cell r="C247" t="str">
            <v>SS</v>
          </cell>
          <cell r="D247" t="str">
            <v>VMware</v>
          </cell>
          <cell r="E247" t="str">
            <v>SW</v>
          </cell>
          <cell r="F247" t="str">
            <v>S7 Hypevisor</v>
          </cell>
          <cell r="G247">
            <v>1478300</v>
          </cell>
          <cell r="H247">
            <v>739150</v>
          </cell>
          <cell r="I247">
            <v>1478300</v>
          </cell>
          <cell r="J247">
            <v>857413.99999999988</v>
          </cell>
          <cell r="K247">
            <v>1478300</v>
          </cell>
          <cell r="L247">
            <v>857413.99999999988</v>
          </cell>
        </row>
        <row r="248">
          <cell r="B248" t="str">
            <v>vCenter Server Std</v>
          </cell>
          <cell r="C248" t="str">
            <v>SS</v>
          </cell>
          <cell r="D248" t="str">
            <v>VMware</v>
          </cell>
          <cell r="E248" t="str">
            <v>SW</v>
          </cell>
          <cell r="F248" t="str">
            <v>S7 Hypevisor</v>
          </cell>
          <cell r="G248">
            <v>739100</v>
          </cell>
          <cell r="H248">
            <v>369550</v>
          </cell>
          <cell r="I248">
            <v>184700</v>
          </cell>
          <cell r="J248">
            <v>107125.99999999999</v>
          </cell>
          <cell r="K248">
            <v>184700</v>
          </cell>
          <cell r="L248">
            <v>107125.99999999999</v>
          </cell>
        </row>
        <row r="249">
          <cell r="B249" t="str">
            <v>VCS S/W LICENSE FOR VDX6730-60, VDX6730-40</v>
          </cell>
          <cell r="C249" t="str">
            <v>NW</v>
          </cell>
          <cell r="D249" t="str">
            <v>Brocade</v>
          </cell>
          <cell r="E249" t="str">
            <v>HW</v>
          </cell>
          <cell r="F249" t="str">
            <v>N1 コアスイッチ</v>
          </cell>
          <cell r="G249">
            <v>992000</v>
          </cell>
          <cell r="H249">
            <v>273100</v>
          </cell>
          <cell r="I249">
            <v>201424</v>
          </cell>
          <cell r="J249">
            <v>1074576</v>
          </cell>
          <cell r="K249">
            <v>218288</v>
          </cell>
          <cell r="L249">
            <v>104955</v>
          </cell>
        </row>
        <row r="250">
          <cell r="B250" t="str">
            <v>VDX 6730, 40P SFP+, AC, NON-PORT SIDE EXHAUST AF</v>
          </cell>
          <cell r="C250" t="str">
            <v>NW</v>
          </cell>
          <cell r="D250" t="str">
            <v>Brocade</v>
          </cell>
          <cell r="E250" t="str">
            <v>HW</v>
          </cell>
          <cell r="F250" t="str">
            <v>N1 コアスイッチ</v>
          </cell>
          <cell r="G250">
            <v>2952000</v>
          </cell>
          <cell r="H250">
            <v>813100</v>
          </cell>
          <cell r="I250">
            <v>322544</v>
          </cell>
          <cell r="J250">
            <v>1813456</v>
          </cell>
          <cell r="K250">
            <v>372728</v>
          </cell>
          <cell r="L250">
            <v>191361</v>
          </cell>
        </row>
        <row r="251">
          <cell r="B251" t="str">
            <v>VDX CU 1GT</v>
          </cell>
          <cell r="C251" t="str">
            <v>NW</v>
          </cell>
          <cell r="D251" t="str">
            <v>Brocade</v>
          </cell>
          <cell r="E251" t="str">
            <v>HW</v>
          </cell>
          <cell r="F251" t="str">
            <v>N1 コアスイッチ</v>
          </cell>
          <cell r="G251">
            <v>50000</v>
          </cell>
          <cell r="H251">
            <v>25000</v>
          </cell>
          <cell r="I251">
            <v>10000</v>
          </cell>
          <cell r="J251">
            <v>8000</v>
          </cell>
          <cell r="K251">
            <v>10000</v>
          </cell>
          <cell r="L251">
            <v>8000</v>
          </cell>
        </row>
        <row r="252">
          <cell r="B252" t="str">
            <v>VDX FC 8G SFP</v>
          </cell>
          <cell r="C252" t="str">
            <v>NW</v>
          </cell>
          <cell r="D252" t="str">
            <v>Brocade</v>
          </cell>
          <cell r="E252" t="str">
            <v>HW</v>
          </cell>
          <cell r="F252" t="str">
            <v>N1 コアスイッチ</v>
          </cell>
          <cell r="G252">
            <v>50000</v>
          </cell>
          <cell r="H252">
            <v>25000</v>
          </cell>
          <cell r="I252">
            <v>10000</v>
          </cell>
          <cell r="J252">
            <v>8000</v>
          </cell>
          <cell r="K252">
            <v>10000</v>
          </cell>
          <cell r="L252">
            <v>8000</v>
          </cell>
        </row>
        <row r="253">
          <cell r="B253" t="str">
            <v>VDX60-SVL-PSDPA-1</v>
          </cell>
          <cell r="C253" t="str">
            <v>NW</v>
          </cell>
          <cell r="D253" t="str">
            <v>Brocade</v>
          </cell>
          <cell r="E253" t="str">
            <v>HW</v>
          </cell>
          <cell r="F253" t="str">
            <v>N1 コアスイッチ</v>
          </cell>
          <cell r="G253">
            <v>150000</v>
          </cell>
          <cell r="H253">
            <v>75000</v>
          </cell>
          <cell r="I253">
            <v>30000</v>
          </cell>
          <cell r="J253">
            <v>24000</v>
          </cell>
          <cell r="K253">
            <v>30000</v>
          </cell>
          <cell r="L253">
            <v>24000</v>
          </cell>
        </row>
        <row r="254">
          <cell r="B254" t="str">
            <v>VDX6720-24(FCoE+VCS)</v>
          </cell>
          <cell r="C254" t="str">
            <v>NW</v>
          </cell>
          <cell r="D254" t="str">
            <v>Brocade</v>
          </cell>
          <cell r="E254" t="str">
            <v>HW</v>
          </cell>
          <cell r="F254" t="str">
            <v>N1 コアスイッチ</v>
          </cell>
          <cell r="G254">
            <v>4250000</v>
          </cell>
          <cell r="H254">
            <v>1275000</v>
          </cell>
          <cell r="I254">
            <v>850000</v>
          </cell>
          <cell r="J254">
            <v>425000</v>
          </cell>
          <cell r="K254">
            <v>850000</v>
          </cell>
          <cell r="L254">
            <v>425000</v>
          </cell>
        </row>
        <row r="255">
          <cell r="B255" t="str">
            <v>VDX6720-40(FCoE+VCS)</v>
          </cell>
          <cell r="C255" t="str">
            <v>NW</v>
          </cell>
          <cell r="D255" t="str">
            <v>Brocade</v>
          </cell>
          <cell r="E255" t="str">
            <v>HW</v>
          </cell>
          <cell r="F255" t="str">
            <v>N1 コアスイッチ</v>
          </cell>
          <cell r="G255">
            <v>5861000</v>
          </cell>
          <cell r="H255">
            <v>2020600</v>
          </cell>
          <cell r="I255">
            <v>911992</v>
          </cell>
          <cell r="J255">
            <v>611071</v>
          </cell>
          <cell r="K255">
            <v>1011629</v>
          </cell>
          <cell r="L255">
            <v>705312</v>
          </cell>
        </row>
        <row r="256">
          <cell r="B256" t="str">
            <v>VDX6720-60(FCoE+VCS)</v>
          </cell>
          <cell r="C256" t="str">
            <v>NW</v>
          </cell>
          <cell r="D256" t="str">
            <v>Brocade</v>
          </cell>
          <cell r="E256" t="str">
            <v>HW</v>
          </cell>
          <cell r="F256" t="str">
            <v>N1 コアスイッチ</v>
          </cell>
          <cell r="G256">
            <v>6419000</v>
          </cell>
          <cell r="H256">
            <v>1992700</v>
          </cell>
          <cell r="I256">
            <v>830168</v>
          </cell>
          <cell r="J256">
            <v>630530</v>
          </cell>
          <cell r="K256">
            <v>922291</v>
          </cell>
          <cell r="L256">
            <v>717257</v>
          </cell>
        </row>
        <row r="257">
          <cell r="B257" t="str">
            <v>VDX6730-24(FCoE+VCS)</v>
          </cell>
          <cell r="C257" t="str">
            <v>NW</v>
          </cell>
          <cell r="D257" t="str">
            <v>Brocade</v>
          </cell>
          <cell r="E257" t="str">
            <v>HW</v>
          </cell>
          <cell r="F257" t="str">
            <v>N1 コアスイッチ</v>
          </cell>
          <cell r="G257">
            <v>4250000</v>
          </cell>
          <cell r="H257">
            <v>1275000</v>
          </cell>
          <cell r="I257">
            <v>850000</v>
          </cell>
          <cell r="J257">
            <v>425000</v>
          </cell>
          <cell r="K257">
            <v>850000</v>
          </cell>
          <cell r="L257">
            <v>425000</v>
          </cell>
        </row>
        <row r="258">
          <cell r="B258" t="str">
            <v>VDX6730-40(FCoE+VCS)</v>
          </cell>
          <cell r="C258" t="str">
            <v>NW</v>
          </cell>
          <cell r="D258" t="str">
            <v>Brocade</v>
          </cell>
          <cell r="E258" t="str">
            <v>HW</v>
          </cell>
          <cell r="F258" t="str">
            <v>N1 コアスイッチ</v>
          </cell>
          <cell r="G258">
            <v>5861000</v>
          </cell>
          <cell r="H258">
            <v>2020600</v>
          </cell>
          <cell r="I258">
            <v>952712</v>
          </cell>
          <cell r="J258">
            <v>684330</v>
          </cell>
          <cell r="K258">
            <v>991016</v>
          </cell>
          <cell r="L258">
            <v>745982</v>
          </cell>
        </row>
        <row r="259">
          <cell r="B259" t="str">
            <v>VDX6730-60(FCoE+VCS)</v>
          </cell>
          <cell r="C259" t="str">
            <v>NW</v>
          </cell>
          <cell r="D259" t="str">
            <v>Brocade</v>
          </cell>
          <cell r="E259" t="str">
            <v>HW</v>
          </cell>
          <cell r="F259" t="str">
            <v>N1 コアスイッチ</v>
          </cell>
          <cell r="G259">
            <v>7336000</v>
          </cell>
          <cell r="H259">
            <v>2020600</v>
          </cell>
          <cell r="I259">
            <v>1522037</v>
          </cell>
          <cell r="J259">
            <v>1071696</v>
          </cell>
          <cell r="K259">
            <v>1538901</v>
          </cell>
          <cell r="L259">
            <v>1115753</v>
          </cell>
        </row>
        <row r="260">
          <cell r="B260" t="str">
            <v>Virtual Whitewater 2TB License</v>
          </cell>
          <cell r="C260" t="str">
            <v>SS</v>
          </cell>
          <cell r="D260" t="str">
            <v>Riverbed</v>
          </cell>
          <cell r="E260" t="str">
            <v>SW</v>
          </cell>
          <cell r="F260" t="str">
            <v>S12 クラウドゲートウェイ</v>
          </cell>
          <cell r="G260">
            <v>1200000</v>
          </cell>
          <cell r="H260">
            <v>960000</v>
          </cell>
          <cell r="I260">
            <v>240000</v>
          </cell>
          <cell r="J260">
            <v>192000</v>
          </cell>
          <cell r="K260">
            <v>240000</v>
          </cell>
          <cell r="L260">
            <v>192000</v>
          </cell>
        </row>
        <row r="261">
          <cell r="B261" t="str">
            <v>VMAX （コントローラ）</v>
          </cell>
          <cell r="C261" t="str">
            <v>SS</v>
          </cell>
          <cell r="D261" t="str">
            <v>EMC</v>
          </cell>
          <cell r="E261" t="str">
            <v>HW</v>
          </cell>
          <cell r="F261" t="str">
            <v>S3 Tier-1 ストレージ（オンライン）</v>
          </cell>
          <cell r="G261">
            <v>0</v>
          </cell>
          <cell r="H261">
            <v>8761492</v>
          </cell>
          <cell r="I261">
            <v>0</v>
          </cell>
          <cell r="J261">
            <v>271022.75999999978</v>
          </cell>
          <cell r="K261">
            <v>0</v>
          </cell>
          <cell r="L261">
            <v>278658.35945999972</v>
          </cell>
        </row>
        <row r="262">
          <cell r="B262" t="str">
            <v>VMAX （その他：管理サーバ用）</v>
          </cell>
          <cell r="C262" t="str">
            <v>SS</v>
          </cell>
          <cell r="D262" t="str">
            <v>EMC</v>
          </cell>
          <cell r="E262" t="str">
            <v>HW</v>
          </cell>
          <cell r="F262" t="str">
            <v>S3 Tier-1 ストレージ（オンライン）</v>
          </cell>
          <cell r="G262">
            <v>0</v>
          </cell>
          <cell r="H262">
            <v>3027307.8947368423</v>
          </cell>
          <cell r="I262">
            <v>0</v>
          </cell>
          <cell r="J262">
            <v>259869.31578947374</v>
          </cell>
          <cell r="K262">
            <v>0</v>
          </cell>
          <cell r="L262">
            <v>276498.83576842112</v>
          </cell>
        </row>
        <row r="263">
          <cell r="B263" t="str">
            <v>VMAX （その他：ユーザ提供用）</v>
          </cell>
          <cell r="C263" t="str">
            <v>SS</v>
          </cell>
          <cell r="D263" t="str">
            <v>EMC</v>
          </cell>
          <cell r="E263" t="str">
            <v>HW</v>
          </cell>
          <cell r="F263" t="str">
            <v>S3 Tier-1 ストレージ（オンライン）</v>
          </cell>
          <cell r="G263">
            <v>0</v>
          </cell>
          <cell r="H263">
            <v>19980232.105263159</v>
          </cell>
          <cell r="I263">
            <v>0</v>
          </cell>
          <cell r="J263">
            <v>1715137.4842105266</v>
          </cell>
          <cell r="K263">
            <v>0</v>
          </cell>
          <cell r="L263">
            <v>1824892.3160715792</v>
          </cell>
        </row>
        <row r="264">
          <cell r="B264" t="str">
            <v>VNX5300 （DPE 他、初期投資分）Tier2-BK</v>
          </cell>
          <cell r="C264" t="str">
            <v>SS</v>
          </cell>
          <cell r="D264" t="str">
            <v>EMC</v>
          </cell>
          <cell r="E264" t="str">
            <v>HW</v>
          </cell>
          <cell r="F264" t="str">
            <v>S5 Tier-2 ストレージ（バックアップ）</v>
          </cell>
          <cell r="G264">
            <v>0</v>
          </cell>
          <cell r="H264">
            <v>863010</v>
          </cell>
          <cell r="I264">
            <v>0</v>
          </cell>
          <cell r="J264">
            <v>48303</v>
          </cell>
          <cell r="K264">
            <v>0</v>
          </cell>
          <cell r="L264">
            <v>48302.999999999985</v>
          </cell>
        </row>
        <row r="265">
          <cell r="B265" t="str">
            <v>VNX5300 （DPE 他、初期投資分）Tier2-OL</v>
          </cell>
          <cell r="C265" t="str">
            <v>SS</v>
          </cell>
          <cell r="D265" t="str">
            <v>EMC</v>
          </cell>
          <cell r="E265" t="str">
            <v>HW</v>
          </cell>
          <cell r="F265" t="str">
            <v>S4 Tier-2 ストレージ（オンライン）</v>
          </cell>
          <cell r="G265">
            <v>0</v>
          </cell>
          <cell r="H265">
            <v>1064010</v>
          </cell>
          <cell r="I265">
            <v>0</v>
          </cell>
          <cell r="J265">
            <v>71501.399999999994</v>
          </cell>
          <cell r="K265">
            <v>0</v>
          </cell>
          <cell r="L265">
            <v>71501.399999999994</v>
          </cell>
        </row>
        <row r="266">
          <cell r="B266" t="str">
            <v>VNX5300 （HDD、DAE）Tier2-BK</v>
          </cell>
          <cell r="C266" t="str">
            <v>SS</v>
          </cell>
          <cell r="D266" t="str">
            <v>EMC</v>
          </cell>
          <cell r="E266" t="str">
            <v>HW</v>
          </cell>
          <cell r="F266" t="str">
            <v>S5 Tier-2 ストレージ（バックアップ）</v>
          </cell>
          <cell r="G266">
            <v>0</v>
          </cell>
          <cell r="H266">
            <v>396000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</row>
        <row r="267">
          <cell r="B267" t="str">
            <v>VNX5300 （HDD、DAE）Tier2-OL</v>
          </cell>
          <cell r="C267" t="str">
            <v>SS</v>
          </cell>
          <cell r="D267" t="str">
            <v>EMC</v>
          </cell>
          <cell r="E267" t="str">
            <v>HW</v>
          </cell>
          <cell r="F267" t="str">
            <v>S4 Tier-2 ストレージ（オンライン）</v>
          </cell>
          <cell r="G267">
            <v>0</v>
          </cell>
          <cell r="H267">
            <v>1892790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</row>
        <row r="268">
          <cell r="B268" t="str">
            <v>VNX5300：検証</v>
          </cell>
          <cell r="C268" t="str">
            <v>SS</v>
          </cell>
          <cell r="D268" t="str">
            <v>EMC</v>
          </cell>
          <cell r="E268" t="str">
            <v>HW</v>
          </cell>
          <cell r="F268" t="str">
            <v>S4 Tier-2 ストレージ（オンライン）</v>
          </cell>
          <cell r="G268">
            <v>0</v>
          </cell>
          <cell r="H268">
            <v>2469345</v>
          </cell>
          <cell r="I268">
            <v>0</v>
          </cell>
          <cell r="J268">
            <v>1403026.5744</v>
          </cell>
          <cell r="K268">
            <v>0</v>
          </cell>
          <cell r="L268">
            <v>1456844.3481600001</v>
          </cell>
        </row>
        <row r="269">
          <cell r="B269" t="str">
            <v>VPX 1000Mbps Standard Edition(買切)</v>
          </cell>
          <cell r="C269" t="str">
            <v>NW</v>
          </cell>
          <cell r="D269" t="str">
            <v>Citrix</v>
          </cell>
          <cell r="E269" t="str">
            <v>SW</v>
          </cell>
          <cell r="F269" t="str">
            <v>N5 ロードバランサ</v>
          </cell>
          <cell r="G269">
            <v>2475000</v>
          </cell>
          <cell r="H269">
            <v>710675</v>
          </cell>
          <cell r="I269">
            <v>1350000</v>
          </cell>
          <cell r="J269">
            <v>539750</v>
          </cell>
          <cell r="K269">
            <v>0</v>
          </cell>
          <cell r="L269">
            <v>0</v>
          </cell>
        </row>
        <row r="270">
          <cell r="B270" t="str">
            <v>VPX 10Mbps Standard Edition(買切)</v>
          </cell>
          <cell r="C270" t="str">
            <v>NW</v>
          </cell>
          <cell r="D270" t="str">
            <v>Citrix</v>
          </cell>
          <cell r="E270" t="str">
            <v>SW</v>
          </cell>
          <cell r="F270" t="str">
            <v>N5 ロードバランサ</v>
          </cell>
          <cell r="G270">
            <v>330000</v>
          </cell>
          <cell r="H270">
            <v>94830</v>
          </cell>
          <cell r="I270">
            <v>180000</v>
          </cell>
          <cell r="J270">
            <v>72780</v>
          </cell>
          <cell r="K270">
            <v>0</v>
          </cell>
          <cell r="L270">
            <v>0</v>
          </cell>
        </row>
        <row r="271">
          <cell r="B271" t="str">
            <v>VPX 200Mbps Standard Edition(買切)</v>
          </cell>
          <cell r="C271" t="str">
            <v>NW</v>
          </cell>
          <cell r="D271" t="str">
            <v>Citrix</v>
          </cell>
          <cell r="E271" t="str">
            <v>SW</v>
          </cell>
          <cell r="F271" t="str">
            <v>N5 ロードバランサ</v>
          </cell>
          <cell r="G271">
            <v>825000</v>
          </cell>
          <cell r="H271">
            <v>237080</v>
          </cell>
          <cell r="I271">
            <v>450000</v>
          </cell>
          <cell r="J271">
            <v>181920</v>
          </cell>
          <cell r="K271">
            <v>0</v>
          </cell>
          <cell r="L271">
            <v>0</v>
          </cell>
        </row>
        <row r="272">
          <cell r="B272" t="str">
            <v>VPX インシデントサポート</v>
          </cell>
          <cell r="C272" t="str">
            <v>NW</v>
          </cell>
          <cell r="D272" t="str">
            <v>Citrix</v>
          </cell>
          <cell r="E272" t="str">
            <v>SW</v>
          </cell>
          <cell r="F272" t="str">
            <v>N5 ロードバランサ</v>
          </cell>
          <cell r="G272">
            <v>0</v>
          </cell>
          <cell r="H272">
            <v>0</v>
          </cell>
          <cell r="I272">
            <v>0</v>
          </cell>
          <cell r="J272">
            <v>580000</v>
          </cell>
          <cell r="K272">
            <v>0</v>
          </cell>
          <cell r="L272">
            <v>580000</v>
          </cell>
        </row>
        <row r="273">
          <cell r="B273" t="str">
            <v>vSphere 4.1 Ent Plus</v>
          </cell>
          <cell r="C273" t="str">
            <v>SS</v>
          </cell>
          <cell r="D273" t="str">
            <v>VMware</v>
          </cell>
          <cell r="E273" t="str">
            <v>SW</v>
          </cell>
          <cell r="F273" t="str">
            <v>S7 Hypevisor</v>
          </cell>
          <cell r="G273">
            <v>471450</v>
          </cell>
          <cell r="H273">
            <v>235725</v>
          </cell>
          <cell r="I273">
            <v>129200</v>
          </cell>
          <cell r="J273">
            <v>74936</v>
          </cell>
          <cell r="K273">
            <v>129200</v>
          </cell>
          <cell r="L273">
            <v>74936</v>
          </cell>
        </row>
        <row r="274">
          <cell r="B274" t="str">
            <v>vSphere 5 ELA （1/8CU 増設時のみ適用）</v>
          </cell>
          <cell r="C274" t="str">
            <v>SS</v>
          </cell>
          <cell r="D274" t="str">
            <v>VMware</v>
          </cell>
          <cell r="E274" t="str">
            <v>SW</v>
          </cell>
          <cell r="F274" t="str">
            <v>S7 Hypevisor</v>
          </cell>
          <cell r="G274">
            <v>0</v>
          </cell>
          <cell r="H274">
            <v>24331534.376470584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</row>
        <row r="275">
          <cell r="B275" t="str">
            <v>vSphere 5 ELA （本番＋検証 一括）</v>
          </cell>
          <cell r="C275" t="str">
            <v>SS</v>
          </cell>
          <cell r="D275" t="str">
            <v>VMware</v>
          </cell>
          <cell r="E275" t="str">
            <v>SW</v>
          </cell>
          <cell r="F275" t="str">
            <v>S7 Hypevisor</v>
          </cell>
          <cell r="G275">
            <v>471450</v>
          </cell>
          <cell r="H275">
            <v>49242391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</row>
        <row r="276">
          <cell r="B276" t="str">
            <v>vSphere5 SRM：システムDR</v>
          </cell>
          <cell r="C276" t="str">
            <v>SS</v>
          </cell>
          <cell r="D276" t="str">
            <v>NSSOL</v>
          </cell>
          <cell r="E276" t="str">
            <v>SW</v>
          </cell>
          <cell r="F276" t="str">
            <v>S7 Hypevisor</v>
          </cell>
          <cell r="G276">
            <v>1200000</v>
          </cell>
          <cell r="H276">
            <v>600000</v>
          </cell>
          <cell r="I276">
            <v>348000</v>
          </cell>
          <cell r="J276">
            <v>201840</v>
          </cell>
          <cell r="K276">
            <v>412600</v>
          </cell>
          <cell r="L276">
            <v>239307.99999999997</v>
          </cell>
        </row>
        <row r="277">
          <cell r="B277" t="str">
            <v>Vyatta Software Basic Subscription, Virtual Machine 5Year(Volume Licence 20110729)@100yen/USD</v>
          </cell>
          <cell r="C277" t="str">
            <v>NW</v>
          </cell>
          <cell r="D277" t="str">
            <v>Vyatta</v>
          </cell>
          <cell r="E277" t="str">
            <v>SW</v>
          </cell>
          <cell r="F277" t="str">
            <v>N3 標準ファイアウォール</v>
          </cell>
          <cell r="G277">
            <v>250000</v>
          </cell>
          <cell r="H277">
            <v>250000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</row>
        <row r="278">
          <cell r="B278" t="str">
            <v>Vyatta 無制限ライセンス</v>
          </cell>
          <cell r="C278" t="str">
            <v>NW</v>
          </cell>
          <cell r="D278" t="str">
            <v>Vyatta</v>
          </cell>
          <cell r="E278" t="str">
            <v>SW</v>
          </cell>
          <cell r="F278" t="str">
            <v>N3 標準ファイアウォール</v>
          </cell>
          <cell r="G278">
            <v>70000000</v>
          </cell>
          <cell r="H278">
            <v>124000000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</row>
        <row r="279">
          <cell r="B279" t="str">
            <v>Windows 2008 R2 SP1 DataCenter　（CPUライセンス）</v>
          </cell>
          <cell r="C279" t="str">
            <v>SS</v>
          </cell>
          <cell r="D279" t="str">
            <v>Microsoft</v>
          </cell>
          <cell r="E279" t="str">
            <v>SW</v>
          </cell>
          <cell r="F279" t="str">
            <v>S8 サーバOS - Windows</v>
          </cell>
          <cell r="G279" t="str">
            <v>-</v>
          </cell>
          <cell r="H279">
            <v>273960</v>
          </cell>
          <cell r="I279">
            <v>0</v>
          </cell>
          <cell r="J279">
            <v>0</v>
          </cell>
          <cell r="K279">
            <v>119257</v>
          </cell>
          <cell r="L279">
            <v>119257</v>
          </cell>
        </row>
        <row r="280">
          <cell r="B280" t="str">
            <v>Windows 2008 R2 SP1 Enterprise　（サーバライセンス）</v>
          </cell>
          <cell r="C280" t="str">
            <v>SS</v>
          </cell>
          <cell r="D280" t="str">
            <v>Microsoft</v>
          </cell>
          <cell r="E280" t="str">
            <v>SW</v>
          </cell>
          <cell r="F280" t="str">
            <v>S8 サーバOS - Windows</v>
          </cell>
          <cell r="G280" t="str">
            <v>-</v>
          </cell>
          <cell r="H280">
            <v>272916</v>
          </cell>
          <cell r="I280">
            <v>0</v>
          </cell>
          <cell r="J280">
            <v>0</v>
          </cell>
          <cell r="K280">
            <v>119257</v>
          </cell>
          <cell r="L280">
            <v>119257</v>
          </cell>
        </row>
        <row r="281">
          <cell r="B281" t="str">
            <v>Windows 2008 R2 Std　（サーバライセンス）</v>
          </cell>
          <cell r="C281" t="str">
            <v>SS</v>
          </cell>
          <cell r="D281" t="str">
            <v>Microsoft</v>
          </cell>
          <cell r="E281" t="str">
            <v>SW</v>
          </cell>
          <cell r="F281" t="str">
            <v>S8 サーバOS - Windows</v>
          </cell>
          <cell r="G281" t="str">
            <v>-</v>
          </cell>
          <cell r="H281">
            <v>84288</v>
          </cell>
          <cell r="I281">
            <v>0</v>
          </cell>
          <cell r="J281">
            <v>0</v>
          </cell>
          <cell r="K281">
            <v>119257</v>
          </cell>
          <cell r="L281">
            <v>119257</v>
          </cell>
        </row>
        <row r="282">
          <cell r="B282" t="str">
            <v>XBR-000190 SFP,1GE COPPER,1-PK, ROHS</v>
          </cell>
          <cell r="C282" t="str">
            <v>NW</v>
          </cell>
          <cell r="D282" t="str">
            <v>Brocade</v>
          </cell>
          <cell r="E282" t="str">
            <v>HW</v>
          </cell>
          <cell r="F282" t="str">
            <v>N1 コアスイッチ</v>
          </cell>
          <cell r="G282">
            <v>72000</v>
          </cell>
          <cell r="H282">
            <v>6900</v>
          </cell>
          <cell r="I282">
            <v>4800</v>
          </cell>
          <cell r="J282">
            <v>600</v>
          </cell>
          <cell r="K282">
            <v>8400</v>
          </cell>
          <cell r="L282">
            <v>1050</v>
          </cell>
        </row>
        <row r="283">
          <cell r="B283" t="str">
            <v>XBR-DCX-0131</v>
          </cell>
          <cell r="C283" t="str">
            <v>NW</v>
          </cell>
          <cell r="D283" t="str">
            <v>Brocade</v>
          </cell>
          <cell r="E283" t="str">
            <v>HW</v>
          </cell>
          <cell r="F283" t="str">
            <v>N1 コアスイッチ</v>
          </cell>
          <cell r="G283">
            <v>25000</v>
          </cell>
          <cell r="H283">
            <v>12500</v>
          </cell>
          <cell r="I283">
            <v>5000</v>
          </cell>
          <cell r="J283">
            <v>4000</v>
          </cell>
          <cell r="K283">
            <v>5000</v>
          </cell>
          <cell r="L283">
            <v>4000</v>
          </cell>
        </row>
        <row r="284">
          <cell r="B284" t="str">
            <v>XBR-R000162 Fixed Rack Mount Kit</v>
          </cell>
          <cell r="C284" t="str">
            <v>NW</v>
          </cell>
          <cell r="D284" t="str">
            <v>Brocade</v>
          </cell>
          <cell r="E284" t="str">
            <v>HW</v>
          </cell>
          <cell r="F284" t="str">
            <v>N1 コアスイッチ</v>
          </cell>
          <cell r="G284">
            <v>29000</v>
          </cell>
          <cell r="H284">
            <v>2668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</row>
        <row r="285">
          <cell r="B285" t="str">
            <v>XFP-10GBASE-SR</v>
          </cell>
          <cell r="C285" t="str">
            <v>NW</v>
          </cell>
          <cell r="D285" t="str">
            <v>Cisco</v>
          </cell>
          <cell r="E285" t="str">
            <v>HW</v>
          </cell>
          <cell r="F285" t="str">
            <v>N10 パケットキャプチャ</v>
          </cell>
          <cell r="G285">
            <v>100000</v>
          </cell>
          <cell r="H285">
            <v>50000</v>
          </cell>
          <cell r="I285">
            <v>20000</v>
          </cell>
          <cell r="J285">
            <v>16000</v>
          </cell>
          <cell r="K285">
            <v>20000</v>
          </cell>
          <cell r="L285">
            <v>16000</v>
          </cell>
        </row>
        <row r="286">
          <cell r="B286" t="str">
            <v>zabbix 親</v>
          </cell>
          <cell r="C286" t="str">
            <v>FC</v>
          </cell>
          <cell r="D286">
            <v>0</v>
          </cell>
          <cell r="E286" t="str">
            <v>SW</v>
          </cell>
          <cell r="F286">
            <v>0</v>
          </cell>
          <cell r="G286">
            <v>0</v>
          </cell>
          <cell r="H286">
            <v>1800000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</row>
        <row r="287">
          <cell r="B287" t="str">
            <v>zabbix 子</v>
          </cell>
          <cell r="C287" t="str">
            <v>FC</v>
          </cell>
          <cell r="D287">
            <v>0</v>
          </cell>
          <cell r="E287" t="str">
            <v>SW</v>
          </cell>
          <cell r="F287">
            <v>0</v>
          </cell>
          <cell r="G287">
            <v>0</v>
          </cell>
          <cell r="H287">
            <v>100000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</row>
        <row r="288">
          <cell r="B288" t="str">
            <v>Zeus 1000Mbps (買切)</v>
          </cell>
          <cell r="C288" t="str">
            <v>NW</v>
          </cell>
          <cell r="D288" t="str">
            <v>Zeus</v>
          </cell>
          <cell r="E288" t="str">
            <v>SW</v>
          </cell>
          <cell r="F288" t="str">
            <v>N5 ロードバランサ</v>
          </cell>
          <cell r="G288">
            <v>1800000</v>
          </cell>
          <cell r="H288">
            <v>800000</v>
          </cell>
          <cell r="I288" t="str">
            <v>open</v>
          </cell>
          <cell r="J288">
            <v>800000</v>
          </cell>
          <cell r="K288">
            <v>300000</v>
          </cell>
          <cell r="L288">
            <v>800000</v>
          </cell>
        </row>
        <row r="289">
          <cell r="B289" t="str">
            <v>Zeus 10Mbps (買切)</v>
          </cell>
          <cell r="C289" t="str">
            <v>NW</v>
          </cell>
          <cell r="D289" t="str">
            <v>Zeus</v>
          </cell>
          <cell r="E289" t="str">
            <v>SW</v>
          </cell>
          <cell r="F289" t="str">
            <v>N5 ロードバランサ</v>
          </cell>
          <cell r="G289" t="str">
            <v>open</v>
          </cell>
          <cell r="H289">
            <v>200000</v>
          </cell>
          <cell r="I289" t="str">
            <v>open</v>
          </cell>
          <cell r="J289">
            <v>200000</v>
          </cell>
          <cell r="K289">
            <v>160000</v>
          </cell>
          <cell r="L289">
            <v>200000</v>
          </cell>
        </row>
        <row r="290">
          <cell r="B290" t="str">
            <v>Zeus 200Mbps (買切)</v>
          </cell>
          <cell r="C290" t="str">
            <v>NW</v>
          </cell>
          <cell r="D290" t="str">
            <v>Zeus</v>
          </cell>
          <cell r="E290" t="str">
            <v>SW</v>
          </cell>
          <cell r="F290" t="str">
            <v>N5 ロードバランサ</v>
          </cell>
          <cell r="G290">
            <v>900000</v>
          </cell>
          <cell r="H290">
            <v>400000</v>
          </cell>
          <cell r="I290" t="str">
            <v>open</v>
          </cell>
          <cell r="J290">
            <v>400000</v>
          </cell>
          <cell r="K290">
            <v>200000</v>
          </cell>
          <cell r="L290">
            <v>400000</v>
          </cell>
        </row>
        <row r="291">
          <cell r="B291" t="str">
            <v>一次構築環境費用</v>
          </cell>
          <cell r="C291" t="str">
            <v>SS</v>
          </cell>
          <cell r="D291" t="str">
            <v>NSSOL</v>
          </cell>
          <cell r="E291" t="str">
            <v>HW</v>
          </cell>
          <cell r="F291" t="str">
            <v>O2 一次構築場所</v>
          </cell>
          <cell r="G291">
            <v>0</v>
          </cell>
          <cell r="H291">
            <v>3000000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</row>
        <row r="292">
          <cell r="B292" t="str">
            <v>ウイルススキャンソフト(Server Protect for Windows/Linux)</v>
          </cell>
          <cell r="C292" t="str">
            <v>SS</v>
          </cell>
          <cell r="D292" t="str">
            <v>トレンドマイクロ</v>
          </cell>
          <cell r="E292" t="str">
            <v>SW</v>
          </cell>
          <cell r="F292" t="str">
            <v>S10 ウイルススキャン</v>
          </cell>
          <cell r="G292">
            <v>4637</v>
          </cell>
          <cell r="H292">
            <v>230</v>
          </cell>
          <cell r="I292">
            <v>2318.5</v>
          </cell>
          <cell r="J292">
            <v>115</v>
          </cell>
          <cell r="K292">
            <v>2318.5</v>
          </cell>
          <cell r="L292">
            <v>115</v>
          </cell>
        </row>
        <row r="293">
          <cell r="B293" t="str">
            <v>検証環境)CA Service Desk Manager(CMDB) - Full License</v>
          </cell>
          <cell r="C293" t="str">
            <v>CL</v>
          </cell>
          <cell r="D293" t="str">
            <v>CA</v>
          </cell>
          <cell r="E293" t="str">
            <v>SW</v>
          </cell>
          <cell r="F293" t="str">
            <v>M1 運用管理ツール</v>
          </cell>
          <cell r="G293">
            <v>600000</v>
          </cell>
          <cell r="H293">
            <v>138000</v>
          </cell>
          <cell r="I293">
            <v>120000</v>
          </cell>
          <cell r="J293">
            <v>27600</v>
          </cell>
          <cell r="K293">
            <v>120000</v>
          </cell>
          <cell r="L293">
            <v>27600</v>
          </cell>
        </row>
        <row r="294">
          <cell r="B294" t="str">
            <v>サーバ作業費（検証一式）</v>
          </cell>
          <cell r="C294" t="str">
            <v>SS</v>
          </cell>
          <cell r="D294" t="str">
            <v>IBM</v>
          </cell>
          <cell r="E294" t="str">
            <v>HW</v>
          </cell>
          <cell r="F294" t="str">
            <v>S1 サーバ</v>
          </cell>
          <cell r="G294">
            <v>0</v>
          </cell>
          <cell r="H294">
            <v>600034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</row>
        <row r="295">
          <cell r="B295" t="str">
            <v>サーバ作業費（本番）</v>
          </cell>
          <cell r="C295" t="str">
            <v>SS</v>
          </cell>
          <cell r="D295" t="str">
            <v>IBM</v>
          </cell>
          <cell r="E295" t="str">
            <v>HW</v>
          </cell>
          <cell r="F295" t="str">
            <v>S1 サーバ</v>
          </cell>
          <cell r="G295">
            <v>0</v>
          </cell>
          <cell r="H295">
            <v>15698.674418604651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</row>
        <row r="296">
          <cell r="B296" t="str">
            <v>ストレージ作業費（Tier1 1台分）</v>
          </cell>
          <cell r="C296" t="str">
            <v>SS</v>
          </cell>
          <cell r="D296" t="str">
            <v>EMC</v>
          </cell>
          <cell r="E296" t="str">
            <v>HW</v>
          </cell>
          <cell r="F296" t="str">
            <v>S3 Tier-1 ストレージ（オンライン）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</row>
        <row r="297">
          <cell r="B297" t="str">
            <v>ストレージ作業費（Tier2-BK 1台分）</v>
          </cell>
          <cell r="C297" t="str">
            <v>SS</v>
          </cell>
          <cell r="D297" t="str">
            <v>EMC</v>
          </cell>
          <cell r="E297" t="str">
            <v>HW</v>
          </cell>
          <cell r="F297" t="str">
            <v>S5 Tier-2 ストレージ（バックアップ）</v>
          </cell>
          <cell r="G297">
            <v>0</v>
          </cell>
          <cell r="H297">
            <v>2389024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</row>
        <row r="298">
          <cell r="B298" t="str">
            <v>ストレージ作業費（Tier2-OL 2台分）</v>
          </cell>
          <cell r="C298" t="str">
            <v>SS</v>
          </cell>
          <cell r="D298" t="str">
            <v>EMC</v>
          </cell>
          <cell r="E298" t="str">
            <v>HW</v>
          </cell>
          <cell r="F298" t="str">
            <v>S4 Tier-2 ストレージ（オンライン）</v>
          </cell>
          <cell r="G298">
            <v>0</v>
          </cell>
          <cell r="H298">
            <v>3677062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</row>
        <row r="299">
          <cell r="B299" t="str">
            <v>検証環境)CA eHealth Performance Manager</v>
          </cell>
          <cell r="C299" t="str">
            <v>CL</v>
          </cell>
          <cell r="D299" t="str">
            <v>CA</v>
          </cell>
          <cell r="E299" t="str">
            <v>SW</v>
          </cell>
          <cell r="F299" t="str">
            <v>M1 運用管理ツール</v>
          </cell>
          <cell r="G299">
            <v>44280</v>
          </cell>
          <cell r="H299">
            <v>10184.400000000001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</row>
        <row r="300">
          <cell r="B300" t="str">
            <v>検証環境)CA Server Automation Rapid Server Imaging</v>
          </cell>
          <cell r="C300" t="str">
            <v>CL</v>
          </cell>
          <cell r="D300" t="str">
            <v>CA</v>
          </cell>
          <cell r="E300" t="str">
            <v>SW</v>
          </cell>
          <cell r="F300" t="str">
            <v>M1 運用管理ツール</v>
          </cell>
          <cell r="G300">
            <v>108000</v>
          </cell>
          <cell r="H300">
            <v>54000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</row>
        <row r="301">
          <cell r="B301" t="str">
            <v>検証環境)CA Spectrum Infrastructure Manager</v>
          </cell>
          <cell r="C301" t="str">
            <v>CL</v>
          </cell>
          <cell r="D301" t="str">
            <v>CA</v>
          </cell>
          <cell r="E301" t="str">
            <v>SW</v>
          </cell>
          <cell r="F301" t="str">
            <v>M1 運用管理ツール</v>
          </cell>
          <cell r="G301">
            <v>44280</v>
          </cell>
          <cell r="H301">
            <v>10184.400000000001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</row>
        <row r="302">
          <cell r="B302" t="str">
            <v>検証環境)CA System Performance for Infrastructure Managers</v>
          </cell>
          <cell r="C302" t="str">
            <v>CL</v>
          </cell>
          <cell r="D302" t="str">
            <v>CA</v>
          </cell>
          <cell r="E302" t="str">
            <v>SW</v>
          </cell>
          <cell r="F302" t="str">
            <v>M1 運用管理ツール</v>
          </cell>
          <cell r="G302">
            <v>64800</v>
          </cell>
          <cell r="H302">
            <v>14904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</row>
        <row r="303">
          <cell r="B303" t="str">
            <v>検証環境)CA Virtual Assurance for Infrastructure Managers</v>
          </cell>
          <cell r="C303" t="str">
            <v>CL</v>
          </cell>
          <cell r="D303" t="str">
            <v>CA</v>
          </cell>
          <cell r="E303" t="str">
            <v>SW</v>
          </cell>
          <cell r="F303" t="str">
            <v>M1 運用管理ツール</v>
          </cell>
          <cell r="G303">
            <v>108000</v>
          </cell>
          <cell r="H303">
            <v>24840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</row>
        <row r="304">
          <cell r="B304" t="str">
            <v>検証環境)CA製品一式</v>
          </cell>
          <cell r="C304" t="str">
            <v>CL</v>
          </cell>
          <cell r="D304" t="str">
            <v>CA</v>
          </cell>
          <cell r="E304" t="str">
            <v>SW</v>
          </cell>
          <cell r="F304" t="str">
            <v>M1 運用管理ツール</v>
          </cell>
          <cell r="G304">
            <v>15529790</v>
          </cell>
          <cell r="H304">
            <v>15529790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</row>
        <row r="305"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</row>
        <row r="306"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>
        <row r="1">
          <cell r="A1" t="str">
            <v>回収単位</v>
          </cell>
          <cell r="D1" t="str">
            <v>優先度</v>
          </cell>
          <cell r="E1" t="str">
            <v>購買分類</v>
          </cell>
        </row>
        <row r="2">
          <cell r="A2" t="str">
            <v>1/8CU</v>
          </cell>
          <cell r="D2" t="str">
            <v>フル</v>
          </cell>
          <cell r="E2" t="str">
            <v>S1 サーバ</v>
          </cell>
        </row>
        <row r="3">
          <cell r="A3" t="str">
            <v>1/4CU</v>
          </cell>
          <cell r="D3" t="str">
            <v>ベース</v>
          </cell>
          <cell r="E3" t="str">
            <v>S2 FiberChannel関連</v>
          </cell>
        </row>
        <row r="4">
          <cell r="A4" t="str">
            <v>1/2CU</v>
          </cell>
          <cell r="D4">
            <v>1</v>
          </cell>
          <cell r="E4" t="str">
            <v>S3 Tier-1 ストレージ（オンライン）</v>
          </cell>
        </row>
        <row r="5">
          <cell r="A5" t="str">
            <v>1CU</v>
          </cell>
          <cell r="D5">
            <v>2</v>
          </cell>
          <cell r="E5" t="str">
            <v>S4 Tier-2 ストレージ（オンライン）</v>
          </cell>
        </row>
        <row r="6">
          <cell r="A6" t="str">
            <v>abs2全体</v>
          </cell>
          <cell r="D6">
            <v>3</v>
          </cell>
          <cell r="E6" t="str">
            <v>S5 Tier-2 ストレージ（バックアップ）</v>
          </cell>
        </row>
        <row r="7">
          <cell r="E7" t="str">
            <v>S6 テープドライブ</v>
          </cell>
        </row>
        <row r="8">
          <cell r="A8" t="str">
            <v>費目</v>
          </cell>
          <cell r="E8" t="str">
            <v>S7 Hypevisor</v>
          </cell>
        </row>
        <row r="9">
          <cell r="A9" t="str">
            <v>HW</v>
          </cell>
          <cell r="E9" t="str">
            <v>S8 サーバOS - Windows</v>
          </cell>
        </row>
        <row r="10">
          <cell r="A10" t="str">
            <v>SW</v>
          </cell>
          <cell r="E10" t="str">
            <v>S9 サーバOS - RHEL</v>
          </cell>
        </row>
        <row r="11">
          <cell r="A11" t="str">
            <v>ENG</v>
          </cell>
          <cell r="E11" t="str">
            <v>S10 ウイルススキャン</v>
          </cell>
        </row>
        <row r="12">
          <cell r="E12" t="str">
            <v>S11 バックアップソフト</v>
          </cell>
        </row>
        <row r="13">
          <cell r="A13" t="str">
            <v>分科会</v>
          </cell>
          <cell r="E13" t="str">
            <v>S12 クラウドゲートウェイ</v>
          </cell>
        </row>
        <row r="14">
          <cell r="A14" t="str">
            <v>NW</v>
          </cell>
          <cell r="E14" t="str">
            <v>S13 2次バックアップストレージ</v>
          </cell>
        </row>
        <row r="15">
          <cell r="A15" t="str">
            <v>SS</v>
          </cell>
          <cell r="E15" t="str">
            <v>S14 物理サーバ管理</v>
          </cell>
        </row>
        <row r="16">
          <cell r="A16" t="str">
            <v>CL</v>
          </cell>
          <cell r="E16" t="str">
            <v>S15 データベース監査ツール</v>
          </cell>
        </row>
        <row r="17">
          <cell r="A17" t="str">
            <v>FC</v>
          </cell>
          <cell r="E17" t="str">
            <v>S16 アクセス制御・監査ツール</v>
          </cell>
        </row>
        <row r="18">
          <cell r="E18" t="str">
            <v>S17 統合ログ管理ツール</v>
          </cell>
        </row>
        <row r="19">
          <cell r="E19" t="str">
            <v>SE サーバ・ストレージエンジ費</v>
          </cell>
        </row>
        <row r="20">
          <cell r="E20" t="str">
            <v>N1 コアスイッチ</v>
          </cell>
        </row>
        <row r="21">
          <cell r="E21" t="str">
            <v>N2 周辺スイッチ</v>
          </cell>
        </row>
        <row r="22">
          <cell r="E22" t="str">
            <v>N3 標準ファイアウォール</v>
          </cell>
        </row>
        <row r="23">
          <cell r="E23" t="str">
            <v>N4 高機能ファイアウォール</v>
          </cell>
        </row>
        <row r="24">
          <cell r="E24" t="str">
            <v>N5 ロードバランサ</v>
          </cell>
        </row>
        <row r="25">
          <cell r="E25" t="str">
            <v>N6 IPS/IDS</v>
          </cell>
        </row>
        <row r="26">
          <cell r="E26" t="str">
            <v>N7 L2VPN</v>
          </cell>
        </row>
        <row r="27">
          <cell r="E27" t="str">
            <v>N8 SSL-VPN</v>
          </cell>
        </row>
        <row r="28">
          <cell r="E28" t="str">
            <v>N9 回線収容ルータ</v>
          </cell>
        </row>
        <row r="29">
          <cell r="E29" t="str">
            <v>N10 パケットキャプチャ</v>
          </cell>
        </row>
        <row r="30">
          <cell r="E30" t="str">
            <v>N11 物理シリアルコンソール</v>
          </cell>
        </row>
        <row r="31">
          <cell r="E31" t="str">
            <v>N12 仮想シリアルコンソール</v>
          </cell>
        </row>
        <row r="32">
          <cell r="E32" t="str">
            <v>N13 トラフィックアナライザ</v>
          </cell>
        </row>
        <row r="33">
          <cell r="E33" t="str">
            <v>NE ネットワークエンジ費</v>
          </cell>
        </row>
        <row r="34">
          <cell r="E34" t="str">
            <v>M1 運用管理ツール</v>
          </cell>
        </row>
        <row r="35">
          <cell r="E35" t="str">
            <v>ME 運用管理エンジ費</v>
          </cell>
        </row>
        <row r="36">
          <cell r="E36" t="str">
            <v>O1 認証コンサル</v>
          </cell>
        </row>
      </sheetData>
      <sheetData sheetId="26"/>
      <sheetData sheetId="27"/>
      <sheetData sheetId="28"/>
      <sheetData sheetId="29"/>
      <sheetData sheetId="30"/>
      <sheetData sheetId="31">
        <row r="2">
          <cell r="B2">
            <v>0.92</v>
          </cell>
        </row>
        <row r="3">
          <cell r="B3">
            <v>0.5</v>
          </cell>
        </row>
      </sheetData>
      <sheetData sheetId="32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全体図"/>
      <sheetName val="詳細図"/>
      <sheetName val="業務分類台帳(案)"/>
      <sheetName val="利用例①"/>
      <sheetName val="利用例②"/>
      <sheetName val="利用例③"/>
      <sheetName val="修正案の1つ前"/>
      <sheetName val="分析指標選択肢"/>
      <sheetName val="サービス分類 (最新)"/>
      <sheetName val="チーム作業分担票への適用例"/>
      <sheetName val="チーム作業分担(元の資料)"/>
      <sheetName val="業務棚卸(鈴木真人さん分)"/>
      <sheetName val="業務分類台帳(峯田さん)"/>
      <sheetName val="ヘルプデスク(稲垣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4">
          <cell r="A4">
            <v>100</v>
          </cell>
        </row>
        <row r="5">
          <cell r="A5">
            <v>101</v>
          </cell>
        </row>
        <row r="6">
          <cell r="A6">
            <v>102</v>
          </cell>
        </row>
        <row r="7">
          <cell r="A7">
            <v>103</v>
          </cell>
        </row>
        <row r="8">
          <cell r="A8">
            <v>104</v>
          </cell>
        </row>
        <row r="9">
          <cell r="A9">
            <v>105</v>
          </cell>
        </row>
        <row r="10">
          <cell r="A10">
            <v>106</v>
          </cell>
        </row>
        <row r="11">
          <cell r="A11">
            <v>107</v>
          </cell>
        </row>
        <row r="12">
          <cell r="A12">
            <v>108</v>
          </cell>
        </row>
        <row r="13">
          <cell r="A13">
            <v>109</v>
          </cell>
        </row>
        <row r="14">
          <cell r="A14">
            <v>110</v>
          </cell>
        </row>
        <row r="15">
          <cell r="A15">
            <v>111</v>
          </cell>
        </row>
        <row r="16">
          <cell r="A16">
            <v>112</v>
          </cell>
        </row>
        <row r="17">
          <cell r="A17">
            <v>113</v>
          </cell>
        </row>
        <row r="18">
          <cell r="A18">
            <v>114</v>
          </cell>
        </row>
        <row r="19">
          <cell r="A19">
            <v>115</v>
          </cell>
        </row>
        <row r="20">
          <cell r="A20">
            <v>116</v>
          </cell>
        </row>
        <row r="21">
          <cell r="A21">
            <v>117</v>
          </cell>
        </row>
        <row r="22">
          <cell r="A22">
            <v>118</v>
          </cell>
        </row>
        <row r="23">
          <cell r="A23">
            <v>119</v>
          </cell>
        </row>
        <row r="24">
          <cell r="A24">
            <v>120</v>
          </cell>
        </row>
        <row r="25">
          <cell r="A25">
            <v>121</v>
          </cell>
        </row>
        <row r="26">
          <cell r="A26">
            <v>122</v>
          </cell>
        </row>
        <row r="27">
          <cell r="A27">
            <v>123</v>
          </cell>
        </row>
        <row r="29">
          <cell r="A29">
            <v>200</v>
          </cell>
        </row>
        <row r="30">
          <cell r="A30">
            <v>201</v>
          </cell>
        </row>
        <row r="32">
          <cell r="A32">
            <v>300</v>
          </cell>
        </row>
        <row r="33">
          <cell r="A33">
            <v>301</v>
          </cell>
        </row>
        <row r="34">
          <cell r="A34">
            <v>302</v>
          </cell>
        </row>
        <row r="35">
          <cell r="A35">
            <v>303</v>
          </cell>
        </row>
        <row r="37">
          <cell r="A37">
            <v>400</v>
          </cell>
        </row>
        <row r="38">
          <cell r="A38">
            <v>401</v>
          </cell>
        </row>
        <row r="39">
          <cell r="A39">
            <v>402</v>
          </cell>
        </row>
        <row r="40">
          <cell r="A40">
            <v>403</v>
          </cell>
        </row>
        <row r="41">
          <cell r="A41">
            <v>404</v>
          </cell>
        </row>
        <row r="42">
          <cell r="A42">
            <v>405</v>
          </cell>
        </row>
        <row r="43">
          <cell r="A43">
            <v>406</v>
          </cell>
        </row>
        <row r="44">
          <cell r="A44">
            <v>407</v>
          </cell>
        </row>
        <row r="45">
          <cell r="A45">
            <v>408</v>
          </cell>
        </row>
        <row r="46">
          <cell r="A46">
            <v>409</v>
          </cell>
        </row>
        <row r="47">
          <cell r="A47">
            <v>410</v>
          </cell>
        </row>
        <row r="49">
          <cell r="A49">
            <v>500</v>
          </cell>
        </row>
        <row r="50">
          <cell r="A50">
            <v>501</v>
          </cell>
        </row>
        <row r="51">
          <cell r="A51">
            <v>502</v>
          </cell>
        </row>
        <row r="52">
          <cell r="A52">
            <v>503</v>
          </cell>
        </row>
        <row r="53">
          <cell r="A53">
            <v>504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共通アーキテクチャ"/>
      <sheetName val="PROGRESS"/>
    </sheetNames>
    <definedNames>
      <definedName name="一まとめ"/>
    </definedNames>
    <sheetDataSet>
      <sheetData sheetId="0"/>
      <sheetData sheetId="1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表紙"/>
      <sheetName val="目次"/>
      <sheetName val="分類"/>
      <sheetName val="概要"/>
      <sheetName val="ﾕｰｻﾞ登録"/>
      <sheetName val="権限登録&amp;ﾁｪｯｸ"/>
      <sheetName val="ﾕｰｻﾞ認証"/>
      <sheetName val="集計.閉局"/>
      <sheetName val="取引規制"/>
      <sheetName val="日付"/>
      <sheetName val="ログ出力"/>
      <sheetName val="採番管理"/>
      <sheetName val="外部ｺｰﾄﾞﾁｪｯｸ"/>
      <sheetName val="閉局ﾁｪｯｸ"/>
      <sheetName val="排他制御"/>
      <sheetName val="ｴﾗｰ処理"/>
      <sheetName val="電文ﾌｫｰﾏｯﾄ"/>
      <sheetName val="ｺｰﾄﾞ変換"/>
      <sheetName val="ｺｰﾄﾞ変換図"/>
      <sheetName val="ｴﾗｰﾘｽﾄ出力"/>
      <sheetName val="For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bs1.0コスト（サマリ）"/>
      <sheetName val="abs1.0コスト（明細）"/>
      <sheetName val="【1-8】コスト積上"/>
      <sheetName val="グラフ"/>
      <sheetName val="コスト積上中間表"/>
      <sheetName val="コスト試算（有賀さん）"/>
      <sheetName val="見積サマリ"/>
      <sheetName val="個別機能毎のコスト"/>
      <sheetName val="製品情報"/>
      <sheetName val="【1-8】初期見積(本番)"/>
      <sheetName val="【1-8】初期見積 (検証)"/>
      <sheetName val="サービスコスト集計"/>
      <sheetName val="増設詳細"/>
      <sheetName val="【1-8】初期見積 (比較)"/>
      <sheetName val="【1-8】初期見積 (orig)"/>
      <sheetName val="【1-8】コスト配分(重み)"/>
      <sheetName val="【1-8】コスト配分(金額)"/>
      <sheetName val="【1-8】増設見積A"/>
      <sheetName val="【1-8】増設見積B"/>
      <sheetName val="【1-8】増設見積C"/>
      <sheetName val="【1-8】増設見積D"/>
      <sheetName val="リストマスタ"/>
      <sheetName val="優先度・深さ反映中間表"/>
      <sheetName val="ファシリティ"/>
      <sheetName val="調達方針"/>
      <sheetName val="20111011ステアリング"/>
      <sheetName val="削減計画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B2" t="str">
            <v>10G-SFPP-AOC-2001</v>
          </cell>
        </row>
        <row r="3">
          <cell r="B3" t="str">
            <v>10G-SFPP-SR</v>
          </cell>
        </row>
        <row r="4">
          <cell r="B4" t="str">
            <v>10G-SFPP-TWX-0101</v>
          </cell>
        </row>
        <row r="5">
          <cell r="B5" t="str">
            <v>10G-SFPP-TWX-0308</v>
          </cell>
        </row>
        <row r="6">
          <cell r="B6" t="str">
            <v>10G-SFPP-TWX-0501</v>
          </cell>
        </row>
        <row r="7">
          <cell r="B7" t="str">
            <v>10G-SFPP-TWX-0508</v>
          </cell>
        </row>
        <row r="8">
          <cell r="B8" t="str">
            <v>ACCESS-100U-1YR</v>
          </cell>
        </row>
        <row r="9">
          <cell r="B9" t="str">
            <v>ACCESS-LICENSE-SVR</v>
          </cell>
        </row>
        <row r="10">
          <cell r="B10" t="str">
            <v>ASA 5550-BUN-9(5context)</v>
          </cell>
        </row>
        <row r="11">
          <cell r="B11" t="str">
            <v>ASA 5550-BUN-9(デフォルトコンテキスト)</v>
          </cell>
        </row>
        <row r="12">
          <cell r="B12" t="str">
            <v>ASA5500-SC-5=</v>
          </cell>
        </row>
        <row r="13">
          <cell r="B13" t="str">
            <v>avocent virtual serial console 48port</v>
          </cell>
        </row>
        <row r="14">
          <cell r="B14" t="str">
            <v>Brocade Network Advisor</v>
          </cell>
        </row>
        <row r="15">
          <cell r="B15" t="str">
            <v>BR-VDX6720-24FCOE-01</v>
          </cell>
        </row>
        <row r="16">
          <cell r="B16" t="str">
            <v>BR-VDX6720-24-R</v>
          </cell>
        </row>
        <row r="17">
          <cell r="B17" t="str">
            <v>BR-VDX6720-24VCS-01</v>
          </cell>
        </row>
        <row r="18">
          <cell r="B18" t="str">
            <v>BR-VDX6720-40-R</v>
          </cell>
        </row>
        <row r="19">
          <cell r="B19" t="str">
            <v>BR-VDX6720-60FCOE-01</v>
          </cell>
        </row>
        <row r="20">
          <cell r="B20" t="str">
            <v>BR-VDX6720-60-R</v>
          </cell>
        </row>
        <row r="21">
          <cell r="B21" t="str">
            <v>BR-VDX6720-60VCS-01</v>
          </cell>
        </row>
        <row r="22">
          <cell r="B22" t="str">
            <v>BR-VDX6730-24FCOE-01</v>
          </cell>
        </row>
        <row r="23">
          <cell r="B23" t="str">
            <v>BR-VDX6730-24-R</v>
          </cell>
        </row>
        <row r="24">
          <cell r="B24" t="str">
            <v>BR-VDX6730-24VCS-01</v>
          </cell>
        </row>
        <row r="25">
          <cell r="B25" t="str">
            <v>BR-VDX6730-60FCOE-01</v>
          </cell>
        </row>
        <row r="26">
          <cell r="B26" t="str">
            <v>BR-VDX6730-60-R</v>
          </cell>
        </row>
        <row r="27">
          <cell r="B27" t="str">
            <v>BR-VDX6730-60VCS-01</v>
          </cell>
        </row>
        <row r="28">
          <cell r="B28" t="str">
            <v>CA Automation Suite</v>
          </cell>
        </row>
        <row r="29">
          <cell r="B29" t="str">
            <v>CA eHealth Performance Manager</v>
          </cell>
        </row>
        <row r="30">
          <cell r="B30" t="str">
            <v>CA Server Automation Rapid Server Imaging</v>
          </cell>
        </row>
        <row r="31">
          <cell r="B31" t="str">
            <v>CA Service Desk Manager(CMDB) -Full License</v>
          </cell>
        </row>
        <row r="32">
          <cell r="B32" t="str">
            <v>CA Spectrum Infrastructure Manager</v>
          </cell>
        </row>
        <row r="33">
          <cell r="B33" t="str">
            <v>CA System Performance for Infrastructure Managers</v>
          </cell>
        </row>
        <row r="34">
          <cell r="B34" t="str">
            <v>CA Virtual Assurance for Infrastructure Managers</v>
          </cell>
        </row>
        <row r="35">
          <cell r="B35" t="str">
            <v>Cascade Appliance 10G SAK-10GA</v>
          </cell>
        </row>
        <row r="36">
          <cell r="B36" t="str">
            <v>Cascade 用 10GE-SR SFP</v>
          </cell>
        </row>
        <row r="37">
          <cell r="B37" t="str">
            <v>Check Point Security Domain software blade for managing Unlimited Gateways</v>
          </cell>
        </row>
        <row r="38">
          <cell r="B38" t="str">
            <v>Cisco 1812J</v>
          </cell>
        </row>
        <row r="39">
          <cell r="B39" t="str">
            <v xml:space="preserve">CISCO FOUR POST RAIL KIT FOR NAM2220 </v>
          </cell>
        </row>
        <row r="40">
          <cell r="B40" t="str">
            <v>Citrix Cloud Bridge</v>
          </cell>
        </row>
        <row r="41">
          <cell r="B41" t="str">
            <v>CLエンジニアリング：absc</v>
          </cell>
        </row>
        <row r="42">
          <cell r="B42" t="str">
            <v>CLエンジニアリング：API実装</v>
          </cell>
        </row>
        <row r="43">
          <cell r="B43" t="str">
            <v>CLエンジニアリング：BK(p-datL1)</v>
          </cell>
        </row>
        <row r="44">
          <cell r="B44" t="str">
            <v>CLエンジニアリング：BK(p-datL2)</v>
          </cell>
        </row>
        <row r="45">
          <cell r="B45" t="str">
            <v>CLエンジニアリング：BK(p-sys)</v>
          </cell>
        </row>
        <row r="46">
          <cell r="B46" t="str">
            <v>CLエンジニアリング：BK(pv-datS)</v>
          </cell>
        </row>
        <row r="47">
          <cell r="B47" t="str">
            <v>CLエンジニアリング：BK(TAPE)</v>
          </cell>
        </row>
        <row r="48">
          <cell r="B48" t="str">
            <v>CLエンジニアリング：BK(v-datL)</v>
          </cell>
        </row>
        <row r="49">
          <cell r="B49" t="str">
            <v>CLエンジニアリング：BK(v-sys)</v>
          </cell>
        </row>
        <row r="50">
          <cell r="B50" t="str">
            <v>CLエンジニアリング：BM</v>
          </cell>
        </row>
        <row r="51">
          <cell r="B51" t="str">
            <v>CLエンジニアリング：BM(クラスタ)</v>
          </cell>
        </row>
        <row r="52">
          <cell r="B52" t="str">
            <v>CLエンジニアリング：ClouｄBurst</v>
          </cell>
        </row>
        <row r="53">
          <cell r="B53" t="str">
            <v>CLエンジニアリング：DR@Hybrid</v>
          </cell>
        </row>
        <row r="54">
          <cell r="B54" t="str">
            <v>CLエンジニアリング：DR@大阪</v>
          </cell>
        </row>
        <row r="55">
          <cell r="B55" t="str">
            <v>CLエンジニアリング：IDS/IPS</v>
          </cell>
        </row>
        <row r="56">
          <cell r="B56" t="str">
            <v>CLエンジニアリング：Multi Viewフレームワーク</v>
          </cell>
        </row>
        <row r="57">
          <cell r="B57" t="str">
            <v>CLエンジニアリング：NFSVM</v>
          </cell>
        </row>
        <row r="58">
          <cell r="B58" t="str">
            <v>CLエンジニアリング：pRT</v>
          </cell>
        </row>
        <row r="59">
          <cell r="B59" t="str">
            <v>CLエンジニアリング：SDLC Hybrid</v>
          </cell>
        </row>
        <row r="60">
          <cell r="B60" t="str">
            <v>CLエンジニアリング：SDLC論理環境管理</v>
          </cell>
        </row>
        <row r="61">
          <cell r="B61" t="str">
            <v>CLエンジニアリング：SMTP</v>
          </cell>
        </row>
        <row r="62">
          <cell r="B62" t="str">
            <v>CLエンジニアリング：T1DATA</v>
          </cell>
        </row>
        <row r="63">
          <cell r="B63" t="str">
            <v>CLエンジニアリング：T2DATA</v>
          </cell>
        </row>
        <row r="64">
          <cell r="B64" t="str">
            <v>CLエンジニアリング：vFW</v>
          </cell>
        </row>
        <row r="65">
          <cell r="B65" t="str">
            <v>CLエンジニアリング：vLB</v>
          </cell>
        </row>
        <row r="66">
          <cell r="B66" t="str">
            <v>CLエンジニアリング：VM</v>
          </cell>
        </row>
        <row r="67">
          <cell r="B67" t="str">
            <v>CLエンジニアリング：vRT</v>
          </cell>
        </row>
        <row r="68">
          <cell r="B68" t="str">
            <v>CLエンジニアリング：vSSL</v>
          </cell>
        </row>
        <row r="69">
          <cell r="B69" t="str">
            <v>CLエンジニアリング：WSUS</v>
          </cell>
        </row>
        <row r="70">
          <cell r="B70" t="str">
            <v>CLエンジニアリング：YUM</v>
          </cell>
        </row>
        <row r="71">
          <cell r="B71" t="str">
            <v>CLエンジニアリング：インシデント管理</v>
          </cell>
        </row>
        <row r="72">
          <cell r="B72" t="str">
            <v>CLエンジニアリング：ウィルススキャン</v>
          </cell>
        </row>
        <row r="73">
          <cell r="B73" t="str">
            <v>CLエンジニアリング：運用・業務設計</v>
          </cell>
        </row>
        <row r="74">
          <cell r="B74" t="str">
            <v>CLエンジニアリング：外部接続</v>
          </cell>
        </row>
        <row r="75">
          <cell r="B75" t="str">
            <v>CLエンジニアリング：仮想マシン移行</v>
          </cell>
        </row>
        <row r="76">
          <cell r="B76" t="str">
            <v>CLエンジニアリング：監視設定とアラート通知</v>
          </cell>
        </row>
        <row r="77">
          <cell r="B77" t="str">
            <v>CLエンジニアリング：管理サーバ(NCCM)</v>
          </cell>
        </row>
        <row r="78">
          <cell r="B78" t="str">
            <v>CLエンジニアリング：キャパシティ管理</v>
          </cell>
        </row>
        <row r="79">
          <cell r="B79" t="str">
            <v>CLエンジニアリング：クラウド管理者側認証基盤設計・実装</v>
          </cell>
        </row>
        <row r="80">
          <cell r="B80" t="str">
            <v xml:space="preserve">CLエンジニアリング：構成管理(リソース管理者向け)  </v>
          </cell>
        </row>
        <row r="81">
          <cell r="B81" t="str">
            <v>CLエンジニアリング：コンソール接続</v>
          </cell>
        </row>
        <row r="82">
          <cell r="B82" t="str">
            <v>CLエンジニアリング：サービスメニュー定義</v>
          </cell>
        </row>
        <row r="83">
          <cell r="B83" t="str">
            <v>CLエンジニアリング：システムDR</v>
          </cell>
        </row>
        <row r="84">
          <cell r="B84" t="str">
            <v>CLエンジニアリング：スナップショット</v>
          </cell>
        </row>
        <row r="85">
          <cell r="B85" t="str">
            <v>CLエンジニアリング：製品カスタマイズ</v>
          </cell>
        </row>
        <row r="86">
          <cell r="B86" t="str">
            <v>CLエンジニアリング：全体構成管理(クラウド管理者向け)</v>
          </cell>
        </row>
        <row r="87">
          <cell r="B87" t="str">
            <v>CLエンジニアリング：データ移行</v>
          </cell>
        </row>
        <row r="88">
          <cell r="B88" t="str">
            <v>CLエンジニアリング：テンプレート</v>
          </cell>
        </row>
        <row r="89">
          <cell r="B89" t="str">
            <v>CLエンジニアリング：ベーシック運用設計・実装</v>
          </cell>
        </row>
        <row r="90">
          <cell r="B90" t="str">
            <v>CLエンジニアリング：ユーザ管理</v>
          </cell>
        </row>
        <row r="91">
          <cell r="B91" t="str">
            <v>CLエンジニアリング：リソース傾向管理</v>
          </cell>
        </row>
        <row r="92">
          <cell r="B92" t="str">
            <v>CLエンジニアリング：リソースプール化・初期設定</v>
          </cell>
        </row>
        <row r="93">
          <cell r="B93" t="str">
            <v>CLエンジニアリング：リソースプール定義・初期登録</v>
          </cell>
        </row>
        <row r="94">
          <cell r="B94" t="str">
            <v>CLエンジニアリング：利用案内</v>
          </cell>
        </row>
        <row r="95">
          <cell r="B95" t="str">
            <v>CLエンジニアリング：利用申請</v>
          </cell>
        </row>
        <row r="96">
          <cell r="B96" t="str">
            <v>CNA Brocade 1860</v>
          </cell>
        </row>
        <row r="97">
          <cell r="B97" t="str">
            <v>CPSB-GBLP Check Point Global Policy blade</v>
          </cell>
        </row>
        <row r="98">
          <cell r="B98" t="str">
            <v>CPSB-VPN Check Point IPSEC VPN Blade</v>
          </cell>
        </row>
        <row r="99">
          <cell r="B99" t="str">
            <v>CPSB-VPN-HA Check Point IPSEC VPN Blade</v>
          </cell>
        </row>
        <row r="100">
          <cell r="B100" t="str">
            <v>CPSG-VE1601 Check Point Security Gateway Virtual Edition on Virtual System with up to 16 cores</v>
          </cell>
        </row>
        <row r="101">
          <cell r="B101" t="str">
            <v>CPSG-VE1601-HA Secondary Check Point Security Gateway Virtual Edition on Virtual System with up to 16 cores</v>
          </cell>
        </row>
        <row r="102">
          <cell r="B102" t="str">
            <v>CPSM-PU007 Security Management pre-defined system including container with 7 Management blades (NPM, EPM, LOGS, MNTR, EVIN, PRVS, UDIR)</v>
          </cell>
        </row>
        <row r="103">
          <cell r="B103" t="str">
            <v>CSK 10GE NIC</v>
          </cell>
        </row>
        <row r="104">
          <cell r="B104" t="str">
            <v>DataDomain DD670@DR（BASE)</v>
          </cell>
        </row>
        <row r="105">
          <cell r="B105" t="str">
            <v>DataDomain DD670@DR(ES20)</v>
          </cell>
        </row>
        <row r="106">
          <cell r="B106" t="str">
            <v>DataDomain DD670@第5DC（BASE)</v>
          </cell>
        </row>
        <row r="107">
          <cell r="B107" t="str">
            <v>DataDomain DD670@第5DC(ES20)</v>
          </cell>
        </row>
        <row r="108">
          <cell r="B108" t="str">
            <v>Dell AIM v3 Activation Key</v>
          </cell>
        </row>
        <row r="109">
          <cell r="B109" t="str">
            <v>Dell Basic PDU, Half Height, 30A/200-208V</v>
          </cell>
        </row>
        <row r="110">
          <cell r="B110" t="str">
            <v>Dell Twin AX SFP+ Cable (DACケーブル)  7m</v>
          </cell>
        </row>
        <row r="111">
          <cell r="B111" t="str">
            <v>EX 4200/4500 Virtual Chassis Port cable 1M length(EX-CBL-VCP-1M)</v>
          </cell>
        </row>
        <row r="112">
          <cell r="B112" t="str">
            <v>EX2200-24T-4G</v>
          </cell>
        </row>
        <row r="113">
          <cell r="B113" t="str">
            <v>EX2200-48T-4G(オプション無し)</v>
          </cell>
        </row>
        <row r="114">
          <cell r="B114" t="str">
            <v>EX3200-48T(オプション無し)</v>
          </cell>
        </row>
        <row r="115">
          <cell r="B115" t="str">
            <v>EX3200-48T/uplink 10Gx2</v>
          </cell>
        </row>
        <row r="116">
          <cell r="B116" t="str">
            <v>EX4200-48T(10GEuplinkx2)</v>
          </cell>
        </row>
        <row r="117">
          <cell r="B117" t="str">
            <v>EX4200-48T(オプション無し)</v>
          </cell>
        </row>
        <row r="118">
          <cell r="B118" t="str">
            <v>EX4500-40F-VC1-BF /VC1-FB</v>
          </cell>
        </row>
        <row r="119">
          <cell r="B119" t="str">
            <v>EX-SFP-10GE-SR</v>
          </cell>
        </row>
        <row r="120">
          <cell r="B120" t="str">
            <v>EX-UM-2X4SFP EX3200　2 ポート10G(SFP+)/4 ポート1G(SFP) 拡張モジュール</v>
          </cell>
        </row>
        <row r="121">
          <cell r="B121" t="str">
            <v>FAS3210 (HDD) Tier2</v>
          </cell>
        </row>
        <row r="122">
          <cell r="B122" t="str">
            <v>FAS3210 (初期投資分) Tier2</v>
          </cell>
        </row>
        <row r="123">
          <cell r="B123" t="str">
            <v>FAS3210：検証</v>
          </cell>
        </row>
        <row r="124">
          <cell r="B124" t="str">
            <v>FAS3240 (HDD) Tier2</v>
          </cell>
        </row>
        <row r="125">
          <cell r="B125" t="str">
            <v>FAS3240 (初期投資分) Tier2</v>
          </cell>
        </row>
        <row r="126">
          <cell r="B126" t="str">
            <v>FCOE S/W LICENSE- 16 8G FC ports, 16 FC optics FOR VDX6730-60, VDX6730-40</v>
          </cell>
        </row>
        <row r="127">
          <cell r="B127" t="str">
            <v>FCケーブル(OM3 LC-LC 10m)</v>
          </cell>
        </row>
        <row r="128">
          <cell r="B128" t="str">
            <v>FCスイッチ</v>
          </cell>
        </row>
        <row r="129">
          <cell r="B129" t="str">
            <v>IBM Proventia G5008C v2 オンサイト保守+パートナー年間</v>
          </cell>
        </row>
        <row r="130">
          <cell r="B130" t="str">
            <v>IBM Proventia G5008C v2(オンサイト保守付き)</v>
          </cell>
        </row>
        <row r="131">
          <cell r="B131" t="str">
            <v>IBM 運用監視サービス</v>
          </cell>
        </row>
        <row r="132">
          <cell r="B132" t="str">
            <v>ISMS/PCI-DSSコンサル</v>
          </cell>
        </row>
        <row r="133">
          <cell r="B133" t="str">
            <v>LAC 運用監視サービス</v>
          </cell>
        </row>
        <row r="134">
          <cell r="B134" t="str">
            <v>LCS-SFPP-SR</v>
          </cell>
        </row>
        <row r="135">
          <cell r="B135" t="str">
            <v>LogStorage(LogGateグループ拡張)</v>
          </cell>
        </row>
        <row r="136">
          <cell r="B136" t="str">
            <v>LogStorage(PISO/SecureCube連携パック込み)</v>
          </cell>
        </row>
        <row r="137">
          <cell r="B137" t="str">
            <v>M-2950</v>
          </cell>
        </row>
        <row r="138">
          <cell r="B138" t="str">
            <v>MAG2600</v>
          </cell>
        </row>
        <row r="139">
          <cell r="B139" t="str">
            <v>NAM2200(16GB Mem, 6x146G HDD)</v>
          </cell>
        </row>
        <row r="140">
          <cell r="B140" t="str">
            <v>NAM2220 Chasis</v>
          </cell>
        </row>
        <row r="141">
          <cell r="B141" t="str">
            <v xml:space="preserve">NAM2220-DIMM-16GB </v>
          </cell>
        </row>
        <row r="142">
          <cell r="B142" t="str">
            <v>NAM2220-HDD-6X146G</v>
          </cell>
        </row>
        <row r="143">
          <cell r="B143" t="str">
            <v xml:space="preserve">NAM-APPL-SW-5.0 </v>
          </cell>
        </row>
        <row r="144">
          <cell r="B144" t="str">
            <v>NBU 7 Ent Client Tier2</v>
          </cell>
        </row>
        <row r="145">
          <cell r="B145" t="str">
            <v>NBU 7 Ent Disk</v>
          </cell>
        </row>
        <row r="146">
          <cell r="B146" t="str">
            <v>NBU 7 Ent Server Tier2</v>
          </cell>
        </row>
        <row r="147">
          <cell r="B147" t="str">
            <v>NBU 7 Std Client</v>
          </cell>
        </row>
        <row r="148">
          <cell r="B148" t="str">
            <v>NWエンジニアリング(1/2CU)</v>
          </cell>
        </row>
        <row r="149">
          <cell r="B149" t="str">
            <v>NWエンジニアリング(1/4CU)</v>
          </cell>
        </row>
        <row r="150">
          <cell r="B150" t="str">
            <v>NWエンジニアリング(1/8CU)</v>
          </cell>
        </row>
        <row r="151">
          <cell r="B151" t="str">
            <v>NWエンジニアリング(1CU)</v>
          </cell>
        </row>
        <row r="152">
          <cell r="B152" t="str">
            <v>NWエンジニアリング(DNS)</v>
          </cell>
        </row>
        <row r="153">
          <cell r="B153" t="str">
            <v>NWエンジニアリング(LDAP)</v>
          </cell>
        </row>
        <row r="154">
          <cell r="B154" t="str">
            <v>NWエンジニアリング(NTP)</v>
          </cell>
        </row>
        <row r="155">
          <cell r="B155" t="str">
            <v>NWエンジニアリング(SMTP)</v>
          </cell>
        </row>
        <row r="156">
          <cell r="B156" t="str">
            <v>NWエンジニアリング(syslog)</v>
          </cell>
        </row>
        <row r="157">
          <cell r="B157" t="str">
            <v>NWエンジニアリング(検証環境)</v>
          </cell>
        </row>
        <row r="158">
          <cell r="B158" t="str">
            <v>NWエンジニアリング(設計)</v>
          </cell>
        </row>
        <row r="159">
          <cell r="B159" t="str">
            <v>NWエンジニアリング(全体)</v>
          </cell>
        </row>
        <row r="160">
          <cell r="B160" t="str">
            <v>NWエンジニアリング(連携/DR@hybrid)</v>
          </cell>
        </row>
        <row r="161">
          <cell r="B161" t="str">
            <v>NWエンジニアリング(連携/DR@大阪/AWS)</v>
          </cell>
        </row>
        <row r="162">
          <cell r="B162" t="str">
            <v>NWエンジニアリング(連携/SDLC@hybrid)</v>
          </cell>
        </row>
        <row r="163">
          <cell r="B163" t="str">
            <v>NWエンジニアリング(連携/仮想プライベートクラウド)</v>
          </cell>
        </row>
        <row r="164">
          <cell r="B164" t="str">
            <v>NWエンジニアリング：管理サーバ(NCCM)</v>
          </cell>
        </row>
        <row r="165">
          <cell r="B165" t="str">
            <v>PISO ISM</v>
          </cell>
        </row>
        <row r="166">
          <cell r="B166" t="str">
            <v>PISO Target(3～8)</v>
          </cell>
        </row>
        <row r="167">
          <cell r="B167" t="str">
            <v>PISO Target(9以上)</v>
          </cell>
        </row>
        <row r="168">
          <cell r="B168" t="str">
            <v xml:space="preserve">PowerEdge 2160AS ｱﾅﾛｸﾞ KVM ｽｲｯﾁ(1Uﾌﾞﾗﾝｸﾊﾟﾈﾙなし) </v>
          </cell>
        </row>
        <row r="169">
          <cell r="B169" t="str">
            <v>PowerPath(1サーバ2ソケット分)仮想環境用</v>
          </cell>
        </row>
        <row r="170">
          <cell r="B170" t="str">
            <v>PowerPath(1サーバ2ソケット分)物理環境用</v>
          </cell>
        </row>
        <row r="171">
          <cell r="B171" t="str">
            <v>Powerpath：　本番初期　T-2 Backup</v>
          </cell>
        </row>
        <row r="172">
          <cell r="B172" t="str">
            <v>PowerPath：検証　T-1</v>
          </cell>
        </row>
        <row r="173">
          <cell r="B173" t="str">
            <v>PowerPath：検証　T-2 Online　用</v>
          </cell>
        </row>
        <row r="174">
          <cell r="B174" t="str">
            <v>PowerPath：本番　T-2 Online　用</v>
          </cell>
        </row>
        <row r="175">
          <cell r="B175" t="str">
            <v>PowerPath：本番初期　T-1</v>
          </cell>
        </row>
        <row r="176">
          <cell r="B176" t="str">
            <v>PowerVault™ ML6010CM Rack Mount Library with 2x LTO5 FC Tape Drive 5U</v>
          </cell>
        </row>
        <row r="177">
          <cell r="B177" t="str">
            <v>R610 ラックマウント作業</v>
          </cell>
        </row>
        <row r="178">
          <cell r="B178" t="str">
            <v>R610(Type-A)</v>
          </cell>
        </row>
        <row r="179">
          <cell r="B179" t="str">
            <v>R610(Type-B)</v>
          </cell>
        </row>
        <row r="180">
          <cell r="B180" t="str">
            <v xml:space="preserve">Red Hat Enterprise Linux Server; Premium </v>
          </cell>
        </row>
        <row r="181">
          <cell r="B181" t="str">
            <v>Red Hat Network Satellite Starter Pack</v>
          </cell>
        </row>
        <row r="182">
          <cell r="B182" t="str">
            <v>RHEL (1-2Socket) Standard 1年新規</v>
          </cell>
        </row>
        <row r="183">
          <cell r="B183" t="str">
            <v>RTX1200</v>
          </cell>
        </row>
        <row r="184">
          <cell r="B184" t="str">
            <v>RTX1200</v>
          </cell>
        </row>
        <row r="185">
          <cell r="B185" t="str">
            <v>SecureCube(Winオプション込み)検証</v>
          </cell>
        </row>
        <row r="186">
          <cell r="B186" t="str">
            <v>SecureCube(Winオプション込み)本番</v>
          </cell>
        </row>
        <row r="187">
          <cell r="B187" t="str">
            <v>sFlow Collector</v>
          </cell>
        </row>
        <row r="188">
          <cell r="B188" t="str">
            <v>SII SmartCS NS-2240-32(コンソールサーバ)</v>
          </cell>
        </row>
        <row r="189">
          <cell r="B189" t="str">
            <v>Smart Management (1台)</v>
          </cell>
        </row>
        <row r="190">
          <cell r="B190" t="str">
            <v>Smart Management (無制限)</v>
          </cell>
        </row>
        <row r="191">
          <cell r="B191" t="str">
            <v>SonicWALLSRA 10user license(max 50 user)</v>
          </cell>
        </row>
        <row r="192">
          <cell r="B192" t="str">
            <v>SonicWallSRA VA(1VA)</v>
          </cell>
        </row>
        <row r="193">
          <cell r="B193" t="str">
            <v>SonicWallSRA VA(1VA/10user)</v>
          </cell>
        </row>
        <row r="194">
          <cell r="B194" t="str">
            <v>SonicWallSRA VA(1VA/20user)</v>
          </cell>
        </row>
        <row r="195">
          <cell r="B195" t="str">
            <v>SQL Server CPU Lic</v>
          </cell>
        </row>
        <row r="196">
          <cell r="B196" t="str">
            <v>SRX100-B</v>
          </cell>
        </row>
        <row r="197">
          <cell r="B197" t="str">
            <v>SSエンジニアリング(1/2CU)abs2.0必須</v>
          </cell>
        </row>
        <row r="198">
          <cell r="B198" t="str">
            <v>SSエンジニアリング(1/2CU)リソース/WSUS, YUM, SMTP</v>
          </cell>
        </row>
        <row r="199">
          <cell r="B199" t="str">
            <v>SSエンジニアリング(1/2CU)リソース/テープドライブ</v>
          </cell>
        </row>
        <row r="200">
          <cell r="B200" t="str">
            <v>SSエンジニアリング(1/2CU)連携/DR@hybrid</v>
          </cell>
        </row>
        <row r="201">
          <cell r="B201" t="str">
            <v>SSエンジニアリング(1/2CU)連携/DR@大阪/AWS</v>
          </cell>
        </row>
        <row r="202">
          <cell r="B202" t="str">
            <v>SSエンジニアリング(1/2CU)連携/SDLC@hybrid</v>
          </cell>
        </row>
        <row r="203">
          <cell r="B203" t="str">
            <v>SSエンジニアリング(1/2CU)連携/システムDR</v>
          </cell>
        </row>
        <row r="204">
          <cell r="B204" t="str">
            <v>SSエンジニアリング(1/4CU)abs2.0必須</v>
          </cell>
        </row>
        <row r="205">
          <cell r="B205" t="str">
            <v>SSエンジニアリング(1/4CU)リソース/WSUS, YUM, SMTP</v>
          </cell>
        </row>
        <row r="206">
          <cell r="B206" t="str">
            <v>SSエンジニアリング(1/4CU)リソース/テープドライブ</v>
          </cell>
        </row>
        <row r="207">
          <cell r="B207" t="str">
            <v>SSエンジニアリング(1/4CU)連携/DR@hybrid</v>
          </cell>
        </row>
        <row r="208">
          <cell r="B208" t="str">
            <v>SSエンジニアリング(1/4CU)連携/DR@大阪/AWS</v>
          </cell>
        </row>
        <row r="209">
          <cell r="B209" t="str">
            <v>SSエンジニアリング(1/4CU)連携/SDLC@hybrid</v>
          </cell>
        </row>
        <row r="210">
          <cell r="B210" t="str">
            <v>SSエンジニアリング(1/4CU)連携/システムDR</v>
          </cell>
        </row>
        <row r="211">
          <cell r="B211" t="str">
            <v>SSエンジニアリング(1/8CU)abs2.0必須</v>
          </cell>
        </row>
        <row r="212">
          <cell r="B212" t="str">
            <v>SSエンジニアリング(1/8CU)リソース/WSUS, YUM, SMTP</v>
          </cell>
        </row>
        <row r="213">
          <cell r="B213" t="str">
            <v>SSエンジニアリング(1/8CU)リソース/テープドライブ</v>
          </cell>
        </row>
        <row r="214">
          <cell r="B214" t="str">
            <v>SSエンジニアリング(1/8CU)連携/DR@hybrid</v>
          </cell>
        </row>
        <row r="215">
          <cell r="B215" t="str">
            <v>SSエンジニアリング(1/8CU)連携/DR@大阪/AWS</v>
          </cell>
        </row>
        <row r="216">
          <cell r="B216" t="str">
            <v>SSエンジニアリング(1/8CU)連携/SDLC@hybrid</v>
          </cell>
        </row>
        <row r="217">
          <cell r="B217" t="str">
            <v>SSエンジニアリング(1/8CU)連携/システムDR</v>
          </cell>
        </row>
        <row r="218">
          <cell r="B218" t="str">
            <v>SSエンジニアリング(1CU)abs2.0必須</v>
          </cell>
        </row>
        <row r="219">
          <cell r="B219" t="str">
            <v>SSエンジニアリング(1CU)リソース/WSUS, YUM, SMTP</v>
          </cell>
        </row>
        <row r="220">
          <cell r="B220" t="str">
            <v>SSエンジニアリング(1CU)リソース/テープドライブ</v>
          </cell>
        </row>
        <row r="221">
          <cell r="B221" t="str">
            <v>SSエンジニアリング(1CU)連携/DR@hybrid</v>
          </cell>
        </row>
        <row r="222">
          <cell r="B222" t="str">
            <v>SSエンジニアリング(1CU)連携/DR@大阪/AWS</v>
          </cell>
        </row>
        <row r="223">
          <cell r="B223" t="str">
            <v>SSエンジニアリング(1CU)連携/SDLC@hybrid</v>
          </cell>
        </row>
        <row r="224">
          <cell r="B224" t="str">
            <v>SSエンジニアリング(1CU)連携/システムDR</v>
          </cell>
        </row>
        <row r="225">
          <cell r="B225" t="str">
            <v>SSエンジニアリング(abs2.0全体)abs2.0必須</v>
          </cell>
        </row>
        <row r="226">
          <cell r="B226" t="str">
            <v>SSエンジニアリング(abs2.0全体)リソース/WSUS, YUM, SMTP</v>
          </cell>
        </row>
        <row r="227">
          <cell r="B227" t="str">
            <v>SSエンジニアリング(abs2.0全体)リソース/テープドライブ</v>
          </cell>
        </row>
        <row r="228">
          <cell r="B228" t="str">
            <v>SSエンジニアリング(abs2.0全体)連携/DR@hybrid</v>
          </cell>
        </row>
        <row r="229">
          <cell r="B229" t="str">
            <v>SSエンジニアリング(abs2.0全体)連携/DR@大阪/AWS</v>
          </cell>
        </row>
        <row r="230">
          <cell r="B230" t="str">
            <v>SSエンジニアリング(abs2.0全体)連携/SDLC@hybrid</v>
          </cell>
        </row>
        <row r="231">
          <cell r="B231" t="str">
            <v>SSエンジニアリング(abs2.0全体)連携/システムDR</v>
          </cell>
        </row>
        <row r="232">
          <cell r="B232" t="str">
            <v>SSエンジニアリング(検証)abs2.0必須</v>
          </cell>
        </row>
        <row r="233">
          <cell r="B233" t="str">
            <v>SSエンジニアリング(検証)リソース/WSUS, YUM, SMTP</v>
          </cell>
        </row>
        <row r="234">
          <cell r="B234" t="str">
            <v>SSエンジニアリング(検証)リソース/テープドライブ</v>
          </cell>
        </row>
        <row r="235">
          <cell r="B235" t="str">
            <v>SSエンジニアリング(検証)連携/DR@hybrid</v>
          </cell>
        </row>
        <row r="236">
          <cell r="B236" t="str">
            <v>SSエンジニアリング(検証)連携/DR@大阪/AWS</v>
          </cell>
        </row>
        <row r="237">
          <cell r="B237" t="str">
            <v>SSエンジニアリング(検証)連携/SDLC@hybrid</v>
          </cell>
        </row>
        <row r="238">
          <cell r="B238" t="str">
            <v>SSエンジニアリング(設計)abs2.0必須</v>
          </cell>
        </row>
        <row r="239">
          <cell r="B239" t="str">
            <v>SSエンジニアリング(設計)リソース/WSUS, YUM, SMTP</v>
          </cell>
        </row>
        <row r="240">
          <cell r="B240" t="str">
            <v>SSエンジニアリング(設計)リソース/テープドライブ</v>
          </cell>
        </row>
        <row r="241">
          <cell r="B241" t="str">
            <v>SSエンジニアリング(設計)連携/DR@hybrid</v>
          </cell>
        </row>
        <row r="242">
          <cell r="B242" t="str">
            <v>SSエンジニアリング(設計)連携/DR@大阪/AWS</v>
          </cell>
        </row>
        <row r="243">
          <cell r="B243" t="str">
            <v>SSエンジニアリング(設計)連携/SDLC@hybrid</v>
          </cell>
        </row>
        <row r="244">
          <cell r="B244" t="str">
            <v>SSエンジニアリング(設計)連携/システムDR</v>
          </cell>
        </row>
        <row r="245">
          <cell r="B245" t="str">
            <v>Swiftwing Sirius LCS(オプション無し)</v>
          </cell>
        </row>
        <row r="246">
          <cell r="B246" t="str">
            <v>Swiftwing Sirius LCS+SFPP</v>
          </cell>
        </row>
        <row r="247">
          <cell r="B247" t="str">
            <v>USBメモリ (HVインストール用)</v>
          </cell>
        </row>
        <row r="248">
          <cell r="B248" t="str">
            <v>vCenter HeartBeat</v>
          </cell>
        </row>
        <row r="249">
          <cell r="B249" t="str">
            <v>vCenter Server Std</v>
          </cell>
        </row>
        <row r="250">
          <cell r="B250" t="str">
            <v>VCS S/W LICENSE FOR VDX6730-60, VDX6730-40</v>
          </cell>
        </row>
        <row r="251">
          <cell r="B251" t="str">
            <v>VDX 6730, 40P SFP+, AC, NON-PORT SIDE EXHAUST AF</v>
          </cell>
        </row>
        <row r="252">
          <cell r="B252" t="str">
            <v>VDX CU 1GT</v>
          </cell>
        </row>
        <row r="253">
          <cell r="B253" t="str">
            <v>VDX FC 8G SFP</v>
          </cell>
        </row>
        <row r="254">
          <cell r="B254" t="str">
            <v>VDX60-SVL-PSDPA-1</v>
          </cell>
        </row>
        <row r="255">
          <cell r="B255" t="str">
            <v>VDX6720-24(FCoE+VCS)</v>
          </cell>
        </row>
        <row r="256">
          <cell r="B256" t="str">
            <v>VDX6720-40(FCoE+VCS)</v>
          </cell>
        </row>
        <row r="257">
          <cell r="B257" t="str">
            <v>VDX6720-60(FCoE+VCS)</v>
          </cell>
        </row>
        <row r="258">
          <cell r="B258" t="str">
            <v>VDX6730-24(FCoE+VCS)</v>
          </cell>
        </row>
        <row r="259">
          <cell r="B259" t="str">
            <v>VDX6730-40(FCoE+VCS)</v>
          </cell>
        </row>
        <row r="260">
          <cell r="B260" t="str">
            <v>VDX6730-60(FCoE+VCS)</v>
          </cell>
        </row>
        <row r="261">
          <cell r="B261" t="str">
            <v>Virtual Whitewater 2TB License</v>
          </cell>
        </row>
        <row r="262">
          <cell r="B262" t="str">
            <v>VMAX （コントローラ）</v>
          </cell>
        </row>
        <row r="263">
          <cell r="B263" t="str">
            <v>VMAX （その他：管理サーバ用）</v>
          </cell>
        </row>
        <row r="264">
          <cell r="B264" t="str">
            <v>VMAX （その他：ユーザ提供用）</v>
          </cell>
        </row>
        <row r="265">
          <cell r="B265" t="str">
            <v>VMAX　HW：本番初期</v>
          </cell>
        </row>
        <row r="266">
          <cell r="B266" t="str">
            <v>VMAX SE　HW：検証</v>
          </cell>
        </row>
        <row r="267">
          <cell r="B267" t="str">
            <v>VMAX SE　SW：検証</v>
          </cell>
        </row>
        <row r="268">
          <cell r="B268" t="str">
            <v>VMAX　SW：本番初期</v>
          </cell>
        </row>
        <row r="269">
          <cell r="B269" t="str">
            <v>VMAXe （コントローラ）</v>
          </cell>
        </row>
        <row r="270">
          <cell r="B270" t="str">
            <v>VMAXe （その他：管理サーバ用）</v>
          </cell>
        </row>
        <row r="271">
          <cell r="B271" t="str">
            <v>VMAXe （その他：ユーザ提供用）</v>
          </cell>
        </row>
        <row r="272">
          <cell r="B272" t="str">
            <v>VMAXe：検証</v>
          </cell>
        </row>
        <row r="273">
          <cell r="B273" t="str">
            <v>VNX5300 （DPE 他、初期投資分）Backup</v>
          </cell>
        </row>
        <row r="274">
          <cell r="B274" t="str">
            <v>VNX5300 （DPE 他、初期投資分）Tier2</v>
          </cell>
        </row>
        <row r="275">
          <cell r="B275" t="str">
            <v>VNX5300 （DPE 他、初期投資分）Tier2-BK</v>
          </cell>
        </row>
        <row r="276">
          <cell r="B276" t="str">
            <v>VNX5300 （DPE 他、初期投資分）Tier2-OL</v>
          </cell>
        </row>
        <row r="277">
          <cell r="B277" t="str">
            <v>VNX5300 （HDD、DAE）Backup</v>
          </cell>
        </row>
        <row r="278">
          <cell r="B278" t="str">
            <v>VNX5300 （HDD、DAE）DR</v>
          </cell>
        </row>
        <row r="279">
          <cell r="B279" t="str">
            <v>VNX5300 （HDD、DAE）Tier2</v>
          </cell>
        </row>
        <row r="280">
          <cell r="B280" t="str">
            <v>VNX5300 （HDD、DAE）Tier2-BK</v>
          </cell>
        </row>
        <row r="281">
          <cell r="B281" t="str">
            <v>VNX5300 （HDD、DAE）Tier2-OL</v>
          </cell>
        </row>
        <row r="282">
          <cell r="B282" t="str">
            <v>VNX5300 HW　：　本番初期　T-2 Backup</v>
          </cell>
        </row>
        <row r="283">
          <cell r="B283" t="str">
            <v>VNX5300　HW：検証</v>
          </cell>
        </row>
        <row r="284">
          <cell r="B284" t="str">
            <v>VNX5300　HW：本番初期</v>
          </cell>
        </row>
        <row r="285">
          <cell r="B285" t="str">
            <v>VNX5300 SW　：　本番初期　T-2 Backup</v>
          </cell>
        </row>
        <row r="286">
          <cell r="B286" t="str">
            <v>VNX5300　SW：検証</v>
          </cell>
        </row>
        <row r="287">
          <cell r="B287" t="str">
            <v>VNX5300　SW：本番初期</v>
          </cell>
        </row>
        <row r="288">
          <cell r="B288" t="str">
            <v>VPX 1000Mbps Standard Edition(買切)</v>
          </cell>
        </row>
        <row r="289">
          <cell r="B289" t="str">
            <v>VPX 10Mbps Standard Edition(買切)</v>
          </cell>
        </row>
        <row r="290">
          <cell r="B290" t="str">
            <v>VPX 200Mbps Standard Edition(買切)</v>
          </cell>
        </row>
        <row r="291">
          <cell r="B291" t="str">
            <v>VPX インシデントサポート</v>
          </cell>
        </row>
        <row r="292">
          <cell r="B292" t="str">
            <v>vSphere 4.1 Ent Plus</v>
          </cell>
        </row>
        <row r="293">
          <cell r="B293" t="str">
            <v>vSphere 5 ELA （本番・検証一括）</v>
          </cell>
        </row>
        <row r="294">
          <cell r="B294" t="str">
            <v>vSphere5 SRM：システムDR</v>
          </cell>
        </row>
        <row r="295">
          <cell r="B295" t="str">
            <v>Vyatta Software Basic Subscription, Virtual Machine 5Year(Volume Licence 20110729)@100yen/USD</v>
          </cell>
        </row>
        <row r="296">
          <cell r="B296" t="str">
            <v>Vyatta 無制限ライセンス</v>
          </cell>
        </row>
        <row r="297">
          <cell r="B297" t="str">
            <v>Windows 2008 R2 SP1 DataCenter　（CPUライセンス）</v>
          </cell>
        </row>
        <row r="298">
          <cell r="B298" t="str">
            <v>Windows 2008 R2 SP1 Enterprise　（サーバライセンス）</v>
          </cell>
        </row>
        <row r="299">
          <cell r="B299" t="str">
            <v>Windows 2008 R2 Std　（サーバライセンス）</v>
          </cell>
        </row>
        <row r="300">
          <cell r="B300" t="str">
            <v>XBR-000190</v>
          </cell>
        </row>
        <row r="301">
          <cell r="B301" t="str">
            <v>XBR-DCX-0131</v>
          </cell>
        </row>
        <row r="302">
          <cell r="B302" t="str">
            <v>XBR-R000162</v>
          </cell>
        </row>
        <row r="303">
          <cell r="B303" t="str">
            <v>XFP-10GBASE-SR</v>
          </cell>
        </row>
        <row r="304">
          <cell r="B304" t="str">
            <v>zabbix 親</v>
          </cell>
        </row>
        <row r="305">
          <cell r="B305" t="str">
            <v>zabbix 子</v>
          </cell>
        </row>
        <row r="306">
          <cell r="B306" t="str">
            <v>Zeus 1000Mbps (買切)</v>
          </cell>
        </row>
        <row r="307">
          <cell r="B307" t="str">
            <v>Zeus 10Mbps (買切)</v>
          </cell>
        </row>
        <row r="308">
          <cell r="B308" t="str">
            <v>Zeus 200Mbps (買切)</v>
          </cell>
        </row>
        <row r="309">
          <cell r="B309" t="str">
            <v>一次構築環境費用</v>
          </cell>
        </row>
        <row r="310">
          <cell r="B310" t="str">
            <v>ウイルススキャンソフト(DeepSecurity)</v>
          </cell>
        </row>
        <row r="311">
          <cell r="B311" t="str">
            <v>ウイルススキャンソフト(Server Protect for Windows/Linux)</v>
          </cell>
        </row>
        <row r="312">
          <cell r="B312" t="str">
            <v>検証環境)CA Service Desk Manager(CMDB) - Full License</v>
          </cell>
        </row>
        <row r="313">
          <cell r="B313" t="str">
            <v>サーバ作業費（検証）</v>
          </cell>
        </row>
        <row r="314">
          <cell r="B314" t="str">
            <v>サーバ作業費（本番初期）</v>
          </cell>
        </row>
        <row r="315">
          <cell r="B315" t="str">
            <v>製品名</v>
          </cell>
        </row>
        <row r="316">
          <cell r="B316" t="str">
            <v>検証環境)CA Automation Suite</v>
          </cell>
        </row>
        <row r="317">
          <cell r="B317" t="str">
            <v>検証環境)CA eHealth Performance Manager</v>
          </cell>
        </row>
        <row r="318">
          <cell r="B318" t="str">
            <v>検証環境)CA Server Automation Rapid Server Imaging</v>
          </cell>
        </row>
        <row r="319">
          <cell r="B319" t="str">
            <v>検証環境)CA Spectrum Infrastructure Manager</v>
          </cell>
        </row>
        <row r="320">
          <cell r="B320" t="str">
            <v>検証環境)CA System Performance for Infrastructure Managers</v>
          </cell>
        </row>
        <row r="321">
          <cell r="B321" t="str">
            <v>検証環境)CA Virtual Assurance for Infrastructure Managers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ACMP"/>
      <sheetName val="HULFT"/>
      <sheetName val="TSM"/>
      <sheetName val="TWS"/>
      <sheetName val="NTジョブスケジューラ"/>
      <sheetName val="LOG"/>
      <sheetName val="認証SVCDB"/>
      <sheetName val="進捗CXXX"/>
    </sheetNames>
    <definedNames>
      <definedName name="日別計画シｰトをクリアする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全体図"/>
      <sheetName val="詳細図"/>
      <sheetName val="業務分類台帳(案)"/>
      <sheetName val="利用例①"/>
      <sheetName val="利用例②"/>
      <sheetName val="利用例③"/>
      <sheetName val="修正案の1つ前"/>
      <sheetName val="分析指標選択肢"/>
      <sheetName val="サービス分類 (最新)"/>
      <sheetName val="チーム作業分担票への適用例"/>
      <sheetName val="チーム作業分担(元の資料)"/>
      <sheetName val="業務棚卸(鈴木真人さん分)"/>
      <sheetName val="業務分類台帳(峯田さん)"/>
      <sheetName val="ヘルプデスク(稲垣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4">
          <cell r="A4">
            <v>100</v>
          </cell>
        </row>
        <row r="5">
          <cell r="A5">
            <v>101</v>
          </cell>
        </row>
        <row r="6">
          <cell r="A6">
            <v>102</v>
          </cell>
        </row>
        <row r="7">
          <cell r="A7">
            <v>103</v>
          </cell>
        </row>
        <row r="8">
          <cell r="A8">
            <v>104</v>
          </cell>
        </row>
        <row r="9">
          <cell r="A9">
            <v>105</v>
          </cell>
        </row>
        <row r="10">
          <cell r="A10">
            <v>106</v>
          </cell>
        </row>
        <row r="11">
          <cell r="A11">
            <v>107</v>
          </cell>
        </row>
        <row r="12">
          <cell r="A12">
            <v>108</v>
          </cell>
        </row>
        <row r="13">
          <cell r="A13">
            <v>109</v>
          </cell>
        </row>
        <row r="14">
          <cell r="A14">
            <v>110</v>
          </cell>
        </row>
        <row r="15">
          <cell r="A15">
            <v>111</v>
          </cell>
        </row>
        <row r="16">
          <cell r="A16">
            <v>112</v>
          </cell>
        </row>
        <row r="17">
          <cell r="A17">
            <v>113</v>
          </cell>
        </row>
        <row r="18">
          <cell r="A18">
            <v>114</v>
          </cell>
        </row>
        <row r="19">
          <cell r="A19">
            <v>115</v>
          </cell>
        </row>
        <row r="20">
          <cell r="A20">
            <v>116</v>
          </cell>
        </row>
        <row r="21">
          <cell r="A21">
            <v>117</v>
          </cell>
        </row>
        <row r="22">
          <cell r="A22">
            <v>118</v>
          </cell>
        </row>
        <row r="23">
          <cell r="A23">
            <v>119</v>
          </cell>
        </row>
        <row r="24">
          <cell r="A24">
            <v>120</v>
          </cell>
        </row>
        <row r="25">
          <cell r="A25">
            <v>121</v>
          </cell>
        </row>
        <row r="26">
          <cell r="A26">
            <v>122</v>
          </cell>
        </row>
        <row r="27">
          <cell r="A27">
            <v>123</v>
          </cell>
        </row>
        <row r="29">
          <cell r="A29">
            <v>200</v>
          </cell>
        </row>
        <row r="30">
          <cell r="A30">
            <v>201</v>
          </cell>
        </row>
        <row r="32">
          <cell r="A32">
            <v>300</v>
          </cell>
        </row>
        <row r="33">
          <cell r="A33">
            <v>301</v>
          </cell>
        </row>
        <row r="34">
          <cell r="A34">
            <v>302</v>
          </cell>
        </row>
        <row r="35">
          <cell r="A35">
            <v>303</v>
          </cell>
        </row>
        <row r="37">
          <cell r="A37">
            <v>400</v>
          </cell>
        </row>
        <row r="38">
          <cell r="A38">
            <v>401</v>
          </cell>
        </row>
        <row r="39">
          <cell r="A39">
            <v>402</v>
          </cell>
        </row>
        <row r="40">
          <cell r="A40">
            <v>403</v>
          </cell>
        </row>
        <row r="41">
          <cell r="A41">
            <v>404</v>
          </cell>
        </row>
        <row r="42">
          <cell r="A42">
            <v>405</v>
          </cell>
        </row>
        <row r="43">
          <cell r="A43">
            <v>406</v>
          </cell>
        </row>
        <row r="44">
          <cell r="A44">
            <v>407</v>
          </cell>
        </row>
        <row r="45">
          <cell r="A45">
            <v>408</v>
          </cell>
        </row>
        <row r="46">
          <cell r="A46">
            <v>409</v>
          </cell>
        </row>
        <row r="47">
          <cell r="A47">
            <v>410</v>
          </cell>
        </row>
        <row r="49">
          <cell r="A49">
            <v>500</v>
          </cell>
        </row>
        <row r="50">
          <cell r="A50">
            <v>501</v>
          </cell>
        </row>
        <row r="51">
          <cell r="A51">
            <v>502</v>
          </cell>
        </row>
        <row r="52">
          <cell r="A52">
            <v>503</v>
          </cell>
        </row>
        <row r="53">
          <cell r="A53">
            <v>504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anakahi\Documents\&#25552;&#26696;&#26360;\&#12510;&#12523;&#12495;&#12491;&#12481;&#12525;\02.&#12463;&#12521;&#12454;&#12489;&#31227;&#34892;&#23566;&#20837;&#25903;&#25588;\&#12503;&#12525;&#12472;&#12455;&#12463;&#12488;\&#12467;&#12473;&#12488;&#35430;&#31639;&#38306;&#36899;&#12501;&#12449;&#12452;&#12523;\CACMNS&#12408;\&#12467;&#12473;&#12488;&#12471;&#12511;&#12517;&#12524;&#12540;&#12471;&#12519;&#12531;&#34920;(&#12486;&#12531;&#12503;&#12524;&#12540;&#12488;)_20191015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22581" refreshedDate="43076.778658796298" createdVersion="6" refreshedVersion="6" minRefreshableVersion="3" recordCount="97">
  <cacheSource type="worksheet">
    <worksheetSource ref="D6:AP167" sheet="五十嵐さん受領資料" r:id="rId2"/>
  </cacheSource>
  <cacheFields count="33">
    <cacheField name="仕訳対象システム" numFmtId="0">
      <sharedItems/>
    </cacheField>
    <cacheField name="AP・MWライセンス体系" numFmtId="0">
      <sharedItems containsBlank="1"/>
    </cacheField>
    <cacheField name="アプリ・HW適合性" numFmtId="0">
      <sharedItems containsBlank="1"/>
    </cacheField>
    <cacheField name="サービス利用" numFmtId="0">
      <sharedItems containsBlank="1"/>
    </cacheField>
    <cacheField name="メンテナンス性" numFmtId="0">
      <sharedItems containsBlank="1"/>
    </cacheField>
    <cacheField name="システム利用不可時_x000a_のユーザ影響" numFmtId="0">
      <sharedItems containsBlank="1"/>
    </cacheField>
    <cacheField name="拡張性" numFmtId="0">
      <sharedItems containsBlank="1"/>
    </cacheField>
    <cacheField name="OSバージョン" numFmtId="0">
      <sharedItems containsBlank="1"/>
    </cacheField>
    <cacheField name="OSバージョン2" numFmtId="0">
      <sharedItems containsBlank="1"/>
    </cacheField>
    <cacheField name="性能" numFmtId="0">
      <sharedItems containsBlank="1"/>
    </cacheField>
    <cacheField name="システム間連携" numFmtId="0">
      <sharedItems containsBlank="1"/>
    </cacheField>
    <cacheField name="データ流量" numFmtId="0">
      <sharedItems containsBlank="1"/>
    </cacheField>
    <cacheField name="ピーク性" numFmtId="0">
      <sharedItems containsBlank="1"/>
    </cacheField>
    <cacheField name="機密情報" numFmtId="0">
      <sharedItems containsBlank="1"/>
    </cacheField>
    <cacheField name="個人情報" numFmtId="0">
      <sharedItems containsBlank="1"/>
    </cacheField>
    <cacheField name="利用ユーザ分類_x000a_ユーザ数" numFmtId="0">
      <sharedItems containsBlank="1"/>
    </cacheField>
    <cacheField name="運用サービス内容" numFmtId="0">
      <sharedItems containsBlank="1"/>
    </cacheField>
    <cacheField name="監視有無" numFmtId="0">
      <sharedItems containsBlank="1"/>
    </cacheField>
    <cacheField name="グローバル対応、現地からの利用" numFmtId="0">
      <sharedItems containsBlank="1"/>
    </cacheField>
    <cacheField name="BCP、DR" numFmtId="0">
      <sharedItems containsBlank="1"/>
    </cacheField>
    <cacheField name="ストレージ容量" numFmtId="0">
      <sharedItems containsBlank="1"/>
    </cacheField>
    <cacheField name="サービス時間" numFmtId="0">
      <sharedItems containsBlank="1"/>
    </cacheField>
    <cacheField name="台数_x000a_（概算）" numFmtId="0">
      <sharedItems containsSemiMixedTypes="0" containsString="0" containsNumber="1" containsInteger="1" minValue="0" maxValue="42"/>
    </cacheField>
    <cacheField name="堂島/タイヤ" numFmtId="0">
      <sharedItems/>
    </cacheField>
    <cacheField name="台数_x000a_（仮想）" numFmtId="0">
      <sharedItems containsString="0" containsBlank="1" containsNumber="1" containsInteger="1" minValue="0" maxValue="26"/>
    </cacheField>
    <cacheField name="台数_x000a_（物理）" numFmtId="0">
      <sharedItems containsString="0" containsBlank="1" containsNumber="1" containsInteger="1" minValue="0" maxValue="18"/>
    </cacheField>
    <cacheField name="除外フラグ" numFmtId="0">
      <sharedItems containsBlank="1"/>
    </cacheField>
    <cacheField name="移行先" numFmtId="0">
      <sharedItems count="9">
        <s v="①AWS"/>
        <s v="⑤廃止"/>
        <s v="④作り替え・サービス切替"/>
        <s v="②プライベートクラウド"/>
        <s v="グレーアウト"/>
        <s v="⑥残置"/>
        <s v="③オンプレミス"/>
        <s v="⑦クラウド化済"/>
        <s v="Azure利用中" u="1"/>
      </sharedItems>
    </cacheField>
    <cacheField name="仕訳理由（項目）" numFmtId="0">
      <sharedItems containsBlank="1" count="11">
        <s v="サービス時間"/>
        <s v="その他"/>
        <s v="OSバージョン"/>
        <m/>
        <s v="システム間連携"/>
        <s v="メンテナンス性"/>
        <s v="アプリ・HW適合性"/>
        <s v="AP・MWライセンス体系"/>
        <s v="グローバル対応、現地からの利用"/>
        <s v="機密情報" u="1"/>
        <s v="個人情報" u="1"/>
      </sharedItems>
    </cacheField>
    <cacheField name="仕訳理由（詳細）" numFmtId="0">
      <sharedItems containsBlank="1" count="57">
        <s v="24時間365日_x000a_※特に指定していない"/>
        <s v="今後廃止予定。"/>
        <s v="SCOMは作り替え。SCCMは資産管理であるが、LanScope に寄せる方針？"/>
        <s v="AWS化への特段の障壁なし。"/>
        <s v="旧OS/特殊である・塩漬けシステムである、など"/>
        <m/>
        <s v="EDI絡みなので、可用性要件は高い。SAP関連システム。"/>
        <s v="SAPシステムとの連携あり。可用性要件はSAPと同等。"/>
        <s v="AWS化への特段の障壁なし。SAPと連携しているが、データ量も少なく、可用性要件も高くない。"/>
        <s v="SAPと同等の可用性要件。_x000a_"/>
        <s v="可用性レベルは高いが、シングルAZでもOK。"/>
        <s v="システム個別に決められた時間のみ、または長期非稼働日のみ"/>
        <s v="EDI PaaSに移行する方針。"/>
        <s v="SharePoint Onlineに切り替え予定"/>
        <s v="24時間365日"/>
        <s v="Oracle ライセンス上問題なければOK。直近案内でもメンテナンスはOK。現状シングル構成。ユーザ影響は問題ないが、財務諸表が必要なタイミングで止まっていると困る。"/>
        <s v="印刷イメージを各プリンタに投げている。DL量が多い。_x000a_また、SAPと同等の可用性要件。_x000a_"/>
        <s v="利用不可時に財務部門のみ打撃有。可用性要件は高め。SAPとやり取りするが、データ量はそこまで多くない。"/>
        <s v="システム個別に決められた時間のみ、または長期非稼働日のみ。サーバリブートを伴うメンテナンスのみであればAWS化可能。"/>
        <s v="SAPとの連携あり"/>
        <s v="2018年度廃止予定。"/>
        <s v="GPU利用"/>
        <s v="インターネット回線入口近くに設置する方針。"/>
        <s v="クラウドサービス利用"/>
        <s v="クラウド監視サービスに切り替え"/>
        <s v="廃止された環境"/>
        <s v="クラウド化済"/>
        <s v="廃止予定"/>
        <s v="デスクトップ環境と通信が多くあり、DaaSが配置されるプライベートクラウドに配置。"/>
        <s v="VDI環境とセットのため"/>
        <s v="AIX であり、仮想化不可"/>
        <s v="既にHW保守切れ。仕組みとしては別システムで動いているものの、過去データ参照のためのみ存在。"/>
        <s v="エクサリティクスというアプライアンスを利用。ゲストOSはOracle BIシステムとして稼働。"/>
        <s v="システムダウン時の影響度が高く、可用性の観点でプライベートクラウド化。"/>
        <s v="デスクトップ環境との連携があり、DaaSが配置されるプライベートクラウドに配置。"/>
        <s v="AWS化への特段の障壁なし。オンプレExchange のアーカイブ。将来的にデータとしては残すが、取り込むことはなくなる。"/>
        <s v="クラウドにマッチしない課金体系"/>
        <s v="クラウド向けのバックアップ環境に作り替え"/>
        <s v="SAPとの連携あり。SAPと同等の可用性レベル。"/>
        <s v="専用HW"/>
        <s v="CADIOS2 （タイヤ生産管理システム-原価管理）_x000a_各拠点用にCADIOS x というものは、各拠点に存在している。マレーシア以外はAWS化が完了している。_x000a_AWS化については、別プロジェクトとして動いている。"/>
        <s v="クラウドサービスのLBサービスに切り替え"/>
        <s v="FT構成のため"/>
        <s v="グローバルアクセスあり"/>
        <s v="DHCP サーバのため"/>
        <s v="IMH-VDI環境用途のため"/>
        <s v="仕組上、IMHに残置"/>
        <s v="Azure利用中"/>
        <s v="残置システムとの連携のため"/>
        <s v="可用性レベルは高いが、。シングルAZでもOK。" u="1"/>
        <s v="漏洩した場合、精神的・経済的ダメージが大きい個人情報を取り扱う" u="1"/>
        <s v="24時間365日　※指定なし" u="1"/>
        <s v="他システムとの連携あり" u="1"/>
        <s v="AWS化への特段の支障なし" u="1"/>
        <s v="AWS化への特段の障壁なし" u="1"/>
        <s v="AWSでは利用できない/保守がない" u="1"/>
        <s v="非公開の主力製品の製造方法など、漏洩した場合経営ダメージが甚大な秘密情報" u="1"/>
      </sharedItems>
    </cacheField>
    <cacheField name="コメント1" numFmtId="0">
      <sharedItems containsBlank="1"/>
    </cacheField>
    <cacheField name="コメント2" numFmtId="0">
      <sharedItems containsBlank="1"/>
    </cacheField>
    <cacheField name="コメント3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7">
  <r>
    <s v="ライセンス認証KMSサーバ"/>
    <s v="C"/>
    <s v="C"/>
    <s v="B"/>
    <s v="B"/>
    <s v="C"/>
    <s v="B"/>
    <s v="C"/>
    <s v="B"/>
    <s v="B"/>
    <s v="B"/>
    <s v="B"/>
    <s v="B"/>
    <s v="B"/>
    <s v="B"/>
    <s v="社内ユーザ"/>
    <s v="B"/>
    <s v="B"/>
    <s v="B"/>
    <s v="D"/>
    <s v="B"/>
    <s v="24時間365日_x000a_※特に指定していない"/>
    <n v="1"/>
    <s v="堂島"/>
    <n v="1"/>
    <n v="0"/>
    <m/>
    <x v="0"/>
    <x v="0"/>
    <x v="0"/>
    <s v="KMSサーバ"/>
    <s v="「アプリ・HW適合性」要確認"/>
    <m/>
  </r>
  <r>
    <s v="System Insight Manager"/>
    <m/>
    <m/>
    <m/>
    <m/>
    <m/>
    <m/>
    <m/>
    <m/>
    <m/>
    <m/>
    <m/>
    <m/>
    <m/>
    <m/>
    <m/>
    <m/>
    <m/>
    <m/>
    <m/>
    <m/>
    <m/>
    <n v="1"/>
    <s v="堂島"/>
    <n v="1"/>
    <n v="0"/>
    <m/>
    <x v="1"/>
    <x v="1"/>
    <x v="1"/>
    <m/>
    <m/>
    <m/>
  </r>
  <r>
    <s v="System Center 運用"/>
    <s v="C"/>
    <s v="C"/>
    <s v="B"/>
    <s v="B"/>
    <s v="C"/>
    <s v="B"/>
    <s v="C"/>
    <s v="B"/>
    <s v="B"/>
    <s v="A"/>
    <s v="B"/>
    <s v="B"/>
    <s v="B"/>
    <s v="B"/>
    <s v="社内ユーザ"/>
    <s v="B"/>
    <s v="C"/>
    <s v="B"/>
    <s v="D"/>
    <s v="B"/>
    <s v="24時間365日_x000a_※特に指定していない"/>
    <n v="8"/>
    <s v="堂島"/>
    <n v="8"/>
    <n v="0"/>
    <m/>
    <x v="2"/>
    <x v="1"/>
    <x v="2"/>
    <m/>
    <s v="「アプリ・HW適合性」要確認"/>
    <m/>
  </r>
  <r>
    <s v="従業員照会システム"/>
    <s v="C"/>
    <s v="C"/>
    <s v="B"/>
    <s v="B"/>
    <s v="B"/>
    <s v="B"/>
    <s v="C"/>
    <s v="B"/>
    <s v="B"/>
    <s v="A"/>
    <s v="B"/>
    <s v="B"/>
    <s v="B"/>
    <s v="A"/>
    <s v="社内ユーザ"/>
    <s v="B"/>
    <s v="B"/>
    <s v="B"/>
    <s v="D"/>
    <s v="B"/>
    <s v="24時間365日"/>
    <n v="1"/>
    <s v="堂島"/>
    <n v="1"/>
    <n v="0"/>
    <m/>
    <x v="0"/>
    <x v="0"/>
    <x v="3"/>
    <m/>
    <s v="「アプリ・HW適合性」要確認"/>
    <m/>
  </r>
  <r>
    <s v="北米R/3"/>
    <s v="C"/>
    <s v="C"/>
    <s v="B"/>
    <s v="B"/>
    <s v="C"/>
    <s v="B"/>
    <s v="A"/>
    <s v="B"/>
    <s v="B"/>
    <s v="B"/>
    <s v="B"/>
    <s v="B"/>
    <s v="B"/>
    <s v="B"/>
    <s v="社内ユーザ"/>
    <s v="B"/>
    <s v="C"/>
    <s v="A"/>
    <s v="D"/>
    <s v="B"/>
    <s v="24時間365日_x000a_※特に指定していない"/>
    <n v="2"/>
    <s v="堂島"/>
    <n v="2"/>
    <n v="0"/>
    <m/>
    <x v="3"/>
    <x v="2"/>
    <x v="4"/>
    <m/>
    <s v="「アプリ・HW適合性」要確認"/>
    <m/>
  </r>
  <r>
    <s v="Windows7管理PC"/>
    <s v="C"/>
    <s v="C"/>
    <s v="B"/>
    <s v="B"/>
    <s v="C"/>
    <s v="B"/>
    <s v="C"/>
    <s v="B"/>
    <s v="B"/>
    <s v="B"/>
    <s v="B"/>
    <s v="B"/>
    <s v="B"/>
    <s v="B"/>
    <s v="社内ユーザ"/>
    <s v="B"/>
    <s v="B"/>
    <s v="B"/>
    <s v="D"/>
    <s v="B"/>
    <s v="24時間365日_x000a_※特に指定していない"/>
    <n v="3"/>
    <s v="堂島"/>
    <n v="3"/>
    <n v="0"/>
    <m/>
    <x v="0"/>
    <x v="0"/>
    <x v="0"/>
    <m/>
    <s v="「アプリ・HW適合性」要確認"/>
    <m/>
  </r>
  <r>
    <s v="ADRMS"/>
    <s v="C"/>
    <s v="C"/>
    <s v="B"/>
    <s v="B"/>
    <s v="B"/>
    <s v="B"/>
    <s v="C"/>
    <s v="B"/>
    <s v="B"/>
    <s v="A"/>
    <s v="B"/>
    <s v="B"/>
    <s v="B"/>
    <s v="B"/>
    <s v="社内ユーザ"/>
    <s v="B"/>
    <s v="B"/>
    <s v="B"/>
    <s v="D"/>
    <s v="B"/>
    <s v="24時間365日"/>
    <n v="2"/>
    <s v="堂島"/>
    <n v="2"/>
    <n v="0"/>
    <m/>
    <x v="0"/>
    <x v="0"/>
    <x v="3"/>
    <s v="特定企業との契約書等のやり取り用途。"/>
    <s v="「アプリ・HW適合性」要確認"/>
    <m/>
  </r>
  <r>
    <s v="RP標準原価管理システム_x000a_※RP標準原価計算に統合"/>
    <m/>
    <m/>
    <m/>
    <m/>
    <m/>
    <m/>
    <m/>
    <s v="B"/>
    <s v="B"/>
    <m/>
    <m/>
    <m/>
    <m/>
    <m/>
    <s v="社内ユーザ"/>
    <m/>
    <m/>
    <m/>
    <m/>
    <m/>
    <m/>
    <n v="0"/>
    <s v="堂島"/>
    <m/>
    <m/>
    <s v="除外"/>
    <x v="4"/>
    <x v="3"/>
    <x v="5"/>
    <m/>
    <m/>
    <m/>
  </r>
  <r>
    <s v="JTBサーバ"/>
    <s v="C"/>
    <s v="C"/>
    <s v="B"/>
    <s v="B"/>
    <s v="B"/>
    <s v="B"/>
    <s v="A"/>
    <s v="B"/>
    <s v="B"/>
    <s v="A"/>
    <s v="B"/>
    <s v="B"/>
    <s v="B"/>
    <s v="B"/>
    <s v="社内ユーザ"/>
    <s v="B"/>
    <s v="B"/>
    <s v="B"/>
    <s v="D"/>
    <s v="B"/>
    <s v="24時間365日"/>
    <n v="1"/>
    <s v="堂島"/>
    <n v="1"/>
    <n v="0"/>
    <m/>
    <x v="3"/>
    <x v="2"/>
    <x v="4"/>
    <m/>
    <s v="「アプリ・HW適合性」要確認"/>
    <m/>
  </r>
  <r>
    <s v="ATヒ　サプライヤ管理システム"/>
    <s v="C"/>
    <s v="C"/>
    <s v="B"/>
    <s v="B"/>
    <s v="C"/>
    <s v="B"/>
    <s v="C"/>
    <s v="B"/>
    <s v="B"/>
    <s v="B"/>
    <s v="B"/>
    <s v="B"/>
    <s v="B"/>
    <s v="B"/>
    <s v="社内ユーザ"/>
    <s v="B"/>
    <s v="B"/>
    <s v="B"/>
    <s v="D"/>
    <s v="B"/>
    <s v="24時間365日_x000a_※特に指定していない"/>
    <n v="1"/>
    <s v="堂島"/>
    <n v="1"/>
    <n v="0"/>
    <m/>
    <x v="0"/>
    <x v="0"/>
    <x v="0"/>
    <m/>
    <s v="「アプリ・HW適合性」要確認"/>
    <m/>
  </r>
  <r>
    <s v="社外品質速報システム"/>
    <s v="C"/>
    <s v="C"/>
    <s v="B"/>
    <s v="B"/>
    <s v="C"/>
    <s v="B"/>
    <s v="C"/>
    <s v="B"/>
    <s v="B"/>
    <s v="B"/>
    <s v="B"/>
    <s v="B"/>
    <s v="B"/>
    <s v="B"/>
    <s v="社内ユーザ"/>
    <s v="B"/>
    <s v="B"/>
    <s v="B"/>
    <s v="D"/>
    <s v="B"/>
    <s v="24時間365日_x000a_※特に指定していない"/>
    <n v="1"/>
    <s v="堂島"/>
    <n v="1"/>
    <n v="0"/>
    <m/>
    <x v="0"/>
    <x v="0"/>
    <x v="0"/>
    <m/>
    <s v="「アプリ・HW適合性」要確認"/>
    <m/>
  </r>
  <r>
    <s v="住商オートリースEDIサーバ"/>
    <s v="C"/>
    <s v="C"/>
    <s v="B"/>
    <s v="B"/>
    <s v="A"/>
    <s v="B"/>
    <s v="C"/>
    <s v="B"/>
    <s v="B"/>
    <s v="A"/>
    <s v="B"/>
    <s v="B"/>
    <s v="B"/>
    <s v="B"/>
    <s v="社内ユーザ"/>
    <s v="B"/>
    <s v="B"/>
    <s v="B"/>
    <s v="D"/>
    <s v="B"/>
    <s v="24時間365日"/>
    <n v="1"/>
    <s v="堂島"/>
    <n v="1"/>
    <n v="0"/>
    <m/>
    <x v="3"/>
    <x v="0"/>
    <x v="6"/>
    <s v="ユーザ→CSV転送→InternetへのOutboud通信がある。データ量は少ない。随時データ転送される。"/>
    <s v="「アプリ・HW適合性」要確認"/>
    <m/>
  </r>
  <r>
    <s v="SAP Solution Manager"/>
    <s v="C"/>
    <s v="C"/>
    <s v="B"/>
    <s v="B"/>
    <s v="C"/>
    <s v="B"/>
    <s v="C"/>
    <s v="B"/>
    <s v="B"/>
    <s v="B"/>
    <s v="B"/>
    <s v="B"/>
    <s v="B"/>
    <s v="B"/>
    <s v="社内ユーザ"/>
    <s v="B"/>
    <s v="B"/>
    <s v="B"/>
    <s v="D"/>
    <s v="B"/>
    <s v="24時間365日_x000a_※特に指定していない"/>
    <n v="1"/>
    <s v="堂島"/>
    <n v="1"/>
    <n v="0"/>
    <m/>
    <x v="0"/>
    <x v="0"/>
    <x v="0"/>
    <m/>
    <s v="「アプリ・HW適合性」要確認"/>
    <m/>
  </r>
  <r>
    <s v="中国SAP ERP 6.0開発機"/>
    <s v="C"/>
    <s v="C"/>
    <s v="B"/>
    <s v="B"/>
    <s v="C"/>
    <s v="B"/>
    <s v="C"/>
    <s v="B"/>
    <s v="B"/>
    <s v="B"/>
    <s v="B"/>
    <s v="B"/>
    <s v="B"/>
    <s v="B"/>
    <s v="社内ユーザ"/>
    <s v="B"/>
    <s v="C"/>
    <s v="B"/>
    <s v="D"/>
    <s v="B"/>
    <s v="24時間365日_x000a_※特に指定していない"/>
    <n v="1"/>
    <s v="堂島"/>
    <n v="1"/>
    <n v="0"/>
    <m/>
    <x v="0"/>
    <x v="0"/>
    <x v="0"/>
    <m/>
    <s v="「アプリ・HW適合性」要確認"/>
    <m/>
  </r>
  <r>
    <s v="R/3データ取り込みシステム"/>
    <s v="C"/>
    <s v="C"/>
    <s v="B"/>
    <s v="B"/>
    <s v="B"/>
    <s v="B"/>
    <s v="C"/>
    <s v="B"/>
    <s v="B"/>
    <s v="A"/>
    <s v="B"/>
    <s v="B"/>
    <s v="B"/>
    <s v="B"/>
    <s v="社内ユーザ"/>
    <s v="B"/>
    <s v="B"/>
    <s v="B"/>
    <s v="D"/>
    <s v="B"/>
    <s v="24時間365日"/>
    <n v="1"/>
    <s v="堂島"/>
    <n v="1"/>
    <n v="0"/>
    <m/>
    <x v="3"/>
    <x v="4"/>
    <x v="7"/>
    <m/>
    <s v="「アプリ・HW適合性」要確認"/>
    <m/>
  </r>
  <r>
    <s v="CPS"/>
    <s v="C"/>
    <s v="C"/>
    <s v="B"/>
    <s v="B"/>
    <s v="B"/>
    <s v="B"/>
    <s v="C"/>
    <s v="B"/>
    <s v="B"/>
    <s v="A"/>
    <s v="B"/>
    <s v="B"/>
    <s v="B"/>
    <s v="B"/>
    <s v="社内ユーザ"/>
    <s v="B"/>
    <s v="B"/>
    <s v="B"/>
    <s v="D"/>
    <s v="B"/>
    <s v="24時間365日"/>
    <n v="1"/>
    <s v="堂島"/>
    <n v="1"/>
    <n v="0"/>
    <m/>
    <x v="0"/>
    <x v="0"/>
    <x v="8"/>
    <s v="銀行とのキャッシュデータのやり取りするためのシステム。手作りシステム。今後なくなる可能性あり。"/>
    <s v="「アプリ・HW適合性」要確認"/>
    <m/>
  </r>
  <r>
    <s v="カンホンーシステム"/>
    <s v="C"/>
    <s v="C"/>
    <s v="B"/>
    <s v="B"/>
    <s v="C"/>
    <s v="B"/>
    <s v="C"/>
    <s v="B"/>
    <s v="B"/>
    <s v="B"/>
    <s v="B"/>
    <s v="B"/>
    <s v="B"/>
    <s v="A"/>
    <s v="社内ユーザ"/>
    <s v="B"/>
    <s v="C"/>
    <s v="B"/>
    <s v="D"/>
    <s v="B"/>
    <s v="24時間365日_x000a_※特に指定していない"/>
    <n v="2"/>
    <s v="堂島"/>
    <n v="2"/>
    <n v="0"/>
    <m/>
    <x v="0"/>
    <x v="0"/>
    <x v="3"/>
    <m/>
    <s v="「アプリ・HW適合性」要確認"/>
    <m/>
  </r>
  <r>
    <s v="品番"/>
    <s v="C"/>
    <s v="C"/>
    <s v="B"/>
    <s v="A"/>
    <s v="B"/>
    <s v="B"/>
    <s v="C"/>
    <s v="B"/>
    <s v="B"/>
    <s v="A"/>
    <s v="B"/>
    <s v="A"/>
    <s v="A"/>
    <s v="B"/>
    <s v="社内ユーザ_x000a_約130名"/>
    <s v="B"/>
    <s v="A"/>
    <s v="B"/>
    <s v="B"/>
    <s v="B"/>
    <s v="24時間365日"/>
    <n v="3"/>
    <s v="堂島"/>
    <n v="3"/>
    <n v="0"/>
    <m/>
    <x v="3"/>
    <x v="5"/>
    <x v="9"/>
    <m/>
    <s v="「アプリ・HW適合性」要確認"/>
    <m/>
  </r>
  <r>
    <s v="販促"/>
    <s v="C"/>
    <s v="C"/>
    <s v="B"/>
    <s v="A"/>
    <s v="B"/>
    <s v="B"/>
    <s v="C"/>
    <s v="B"/>
    <s v="B"/>
    <s v="A"/>
    <s v="B"/>
    <s v="B"/>
    <s v="B"/>
    <s v="B"/>
    <s v="社内ユーザ"/>
    <s v="B"/>
    <s v="B"/>
    <s v="B"/>
    <s v="D"/>
    <s v="B"/>
    <s v="24時間365日"/>
    <n v="2"/>
    <s v="堂島"/>
    <n v="2"/>
    <n v="0"/>
    <m/>
    <x v="0"/>
    <x v="0"/>
    <x v="3"/>
    <m/>
    <s v="「アプリ・HW適合性」要確認"/>
    <m/>
  </r>
  <r>
    <s v="EDIツール"/>
    <s v="C"/>
    <s v="C"/>
    <s v="B"/>
    <s v="A"/>
    <s v="A"/>
    <s v="B"/>
    <s v="C"/>
    <s v="B"/>
    <s v="B"/>
    <s v="A"/>
    <s v="B"/>
    <s v="B"/>
    <s v="B"/>
    <s v="B"/>
    <s v="社内ユーザ"/>
    <s v="B"/>
    <s v="B"/>
    <s v="B"/>
    <s v="B"/>
    <s v="B"/>
    <s v="24時間365日"/>
    <n v="3"/>
    <s v="堂島"/>
    <n v="3"/>
    <n v="0"/>
    <m/>
    <x v="0"/>
    <x v="0"/>
    <x v="3"/>
    <m/>
    <s v="「アプリ・HW適合性」要確認"/>
    <m/>
  </r>
  <r>
    <s v="ワークフロー"/>
    <s v="C"/>
    <s v="C"/>
    <s v="B"/>
    <s v="B"/>
    <s v="A"/>
    <s v="B"/>
    <s v="C"/>
    <s v="B"/>
    <s v="B"/>
    <s v="B"/>
    <s v="B"/>
    <s v="B"/>
    <s v="B"/>
    <s v="B"/>
    <s v="社内ユーザ"/>
    <s v="B"/>
    <s v="B"/>
    <s v="B"/>
    <s v="D"/>
    <s v="B"/>
    <s v="24時間365日"/>
    <n v="2"/>
    <s v="堂島"/>
    <n v="2"/>
    <n v="0"/>
    <m/>
    <x v="0"/>
    <x v="0"/>
    <x v="10"/>
    <m/>
    <s v="「アプリ・HW適合性」要確認"/>
    <m/>
  </r>
  <r>
    <s v="RP標準原価計算"/>
    <s v="C"/>
    <s v="C"/>
    <s v="B"/>
    <s v="A"/>
    <s v="B"/>
    <s v="B"/>
    <s v="C"/>
    <s v="B"/>
    <s v="B"/>
    <s v="A"/>
    <s v="B"/>
    <s v="A"/>
    <s v="B"/>
    <s v="B"/>
    <s v="社内ユーザ_x000a_約60名"/>
    <s v="B"/>
    <s v="A"/>
    <s v="A"/>
    <s v="B"/>
    <s v="B"/>
    <s v="24時間365日"/>
    <n v="6"/>
    <s v="堂島"/>
    <n v="6"/>
    <n v="0"/>
    <m/>
    <x v="3"/>
    <x v="5"/>
    <x v="11"/>
    <m/>
    <s v="「アプリ・HW適合性」要確認"/>
    <m/>
  </r>
  <r>
    <s v="HDC-EDI"/>
    <s v="C"/>
    <s v="C"/>
    <s v="B"/>
    <s v="A"/>
    <s v="A"/>
    <s v="B"/>
    <s v="C"/>
    <s v="B"/>
    <s v="B"/>
    <s v="A"/>
    <s v="B"/>
    <s v="B"/>
    <s v="B"/>
    <s v="B"/>
    <s v="社内ユーザ"/>
    <s v="B"/>
    <s v="A"/>
    <s v="B"/>
    <s v="B"/>
    <s v="B"/>
    <s v="24時間365日"/>
    <n v="2"/>
    <s v="堂島"/>
    <n v="2"/>
    <n v="0"/>
    <m/>
    <x v="2"/>
    <x v="1"/>
    <x v="12"/>
    <m/>
    <s v="「アプリ・HW適合性」要確認"/>
    <m/>
  </r>
  <r>
    <s v="LLamaSoft SupplyChainGuru"/>
    <s v="C"/>
    <s v="C"/>
    <s v="B"/>
    <s v="B"/>
    <s v="C"/>
    <s v="B"/>
    <s v="C"/>
    <s v="B"/>
    <s v="B"/>
    <s v="B"/>
    <s v="B"/>
    <s v="B"/>
    <s v="B"/>
    <s v="B"/>
    <s v="社内ユーザ"/>
    <s v="B"/>
    <s v="B"/>
    <s v="B"/>
    <s v="D"/>
    <s v="B"/>
    <s v="24時間365日_x000a_※特に指定していない"/>
    <n v="1"/>
    <s v="堂島"/>
    <n v="1"/>
    <n v="0"/>
    <m/>
    <x v="0"/>
    <x v="0"/>
    <x v="0"/>
    <m/>
    <s v="「アプリ・HW適合性」要確認"/>
    <m/>
  </r>
  <r>
    <s v="Sharepoint"/>
    <s v="B"/>
    <s v="B"/>
    <s v="B"/>
    <s v="B"/>
    <s v="C"/>
    <s v="B"/>
    <s v="C"/>
    <s v="B"/>
    <s v="B"/>
    <s v="B"/>
    <s v="B"/>
    <s v="B"/>
    <s v="B"/>
    <s v="A"/>
    <s v="社内ユーザ"/>
    <s v="B"/>
    <s v="B"/>
    <s v="B"/>
    <s v="C"/>
    <s v="B"/>
    <s v="24時間365日_x000a_※特に指定していない"/>
    <n v="6"/>
    <s v="堂島"/>
    <n v="6"/>
    <n v="0"/>
    <m/>
    <x v="2"/>
    <x v="1"/>
    <x v="13"/>
    <m/>
    <m/>
    <m/>
  </r>
  <r>
    <s v="無線LAN 802.1x認証サーバ"/>
    <s v="C"/>
    <s v="C"/>
    <s v="B"/>
    <s v="B"/>
    <s v="C"/>
    <s v="B"/>
    <s v="C"/>
    <s v="B"/>
    <s v="B"/>
    <s v="B"/>
    <s v="B"/>
    <s v="B"/>
    <s v="B"/>
    <s v="B"/>
    <s v="社内ユーザ"/>
    <s v="B"/>
    <s v="B"/>
    <s v="B"/>
    <s v="D"/>
    <s v="B"/>
    <s v="24時間365日"/>
    <n v="2"/>
    <s v="堂島"/>
    <n v="2"/>
    <n v="0"/>
    <m/>
    <x v="5"/>
    <x v="1"/>
    <x v="14"/>
    <s v="可用性レベルは低いため、AWS化可能性有"/>
    <s v="「アプリ・HW適合性」要確認"/>
    <m/>
  </r>
  <r>
    <s v="モールドエイジング管理システム"/>
    <s v="C"/>
    <s v="C"/>
    <s v="B"/>
    <s v="B"/>
    <s v="B"/>
    <s v="B"/>
    <s v="C"/>
    <s v="B"/>
    <s v="B"/>
    <s v="B"/>
    <s v="B"/>
    <s v="B"/>
    <s v="B"/>
    <s v="B"/>
    <s v="社内ユーザ"/>
    <s v="B"/>
    <s v="B"/>
    <s v="B"/>
    <s v="D"/>
    <s v="B"/>
    <s v="24時間365日"/>
    <n v="2"/>
    <s v="堂島"/>
    <n v="2"/>
    <n v="0"/>
    <m/>
    <x v="0"/>
    <x v="0"/>
    <x v="0"/>
    <m/>
    <s v="「アプリ・HW適合性」要確認"/>
    <m/>
  </r>
  <r>
    <s v="OracleBI"/>
    <s v="C"/>
    <s v="C"/>
    <s v="B"/>
    <s v="A"/>
    <s v="A"/>
    <s v="B"/>
    <s v="C"/>
    <s v="B"/>
    <s v="B"/>
    <s v="A"/>
    <s v="B"/>
    <s v="A"/>
    <s v="B"/>
    <s v="B"/>
    <s v="社内ユーザ"/>
    <s v="B"/>
    <s v="B"/>
    <s v="A"/>
    <s v="D"/>
    <s v="B"/>
    <s v="24時間365日"/>
    <n v="4"/>
    <s v="堂島"/>
    <n v="4"/>
    <n v="0"/>
    <m/>
    <x v="3"/>
    <x v="1"/>
    <x v="15"/>
    <m/>
    <s v="「アプリ・HW適合性」要確認"/>
    <m/>
  </r>
  <r>
    <s v="OpenPrint"/>
    <s v="C"/>
    <s v="C"/>
    <s v="B"/>
    <s v="A"/>
    <s v="A"/>
    <s v="B"/>
    <s v="C"/>
    <s v="B"/>
    <s v="B"/>
    <s v="A"/>
    <s v="B"/>
    <s v="A"/>
    <s v="B"/>
    <s v="B"/>
    <s v="社内ユーザ"/>
    <s v="B"/>
    <s v="B"/>
    <s v="B"/>
    <s v="B"/>
    <s v="B"/>
    <s v="24時間365日"/>
    <n v="3"/>
    <s v="堂島"/>
    <n v="3"/>
    <n v="0"/>
    <m/>
    <x v="3"/>
    <x v="4"/>
    <x v="16"/>
    <m/>
    <s v="「アプリ・HW適合性」要確認"/>
    <m/>
  </r>
  <r>
    <s v="連結決算STRAVIS"/>
    <s v="C"/>
    <s v="C"/>
    <s v="B"/>
    <s v="B"/>
    <s v="B"/>
    <s v="B"/>
    <s v="C"/>
    <s v="B"/>
    <s v="B"/>
    <s v="A"/>
    <s v="B"/>
    <s v="A"/>
    <s v="B"/>
    <s v="B"/>
    <s v="社内ユーザ"/>
    <s v="B"/>
    <s v="B"/>
    <s v="A"/>
    <s v="B"/>
    <s v="B"/>
    <s v="24時間365日"/>
    <n v="2"/>
    <s v="堂島"/>
    <n v="2"/>
    <n v="0"/>
    <m/>
    <x v="0"/>
    <x v="0"/>
    <x v="17"/>
    <m/>
    <s v="「アプリ・HW適合性」要確認"/>
    <m/>
  </r>
  <r>
    <s v="SAP R3"/>
    <s v="B"/>
    <s v="B"/>
    <s v="B"/>
    <s v="A"/>
    <s v="A"/>
    <s v="B"/>
    <s v="C"/>
    <s v="B"/>
    <s v="B"/>
    <s v="A"/>
    <s v="B"/>
    <s v="A"/>
    <s v="B"/>
    <s v="A"/>
    <s v="社内ユーザ_x000a_約1700名"/>
    <s v="B"/>
    <s v="A"/>
    <s v="A"/>
    <s v="B"/>
    <s v="A"/>
    <s v="24時間365日"/>
    <n v="10"/>
    <s v="堂島"/>
    <n v="9"/>
    <n v="1"/>
    <m/>
    <x v="3"/>
    <x v="5"/>
    <x v="18"/>
    <s v="年4回スケジュールを決めており、それに従って止めている。日曜のAM10:00-14:00。AM10:00-14:00 はバッチが動かない、オンライン時間帯。10日前までのリブート処理だけだと問題ない。"/>
    <m/>
    <m/>
  </r>
  <r>
    <s v="ecoFAX"/>
    <s v="C"/>
    <s v="C"/>
    <s v="B"/>
    <s v="B"/>
    <s v="A"/>
    <s v="B"/>
    <s v="C"/>
    <s v="B"/>
    <s v="B"/>
    <s v="A"/>
    <s v="B"/>
    <s v="B"/>
    <s v="B"/>
    <s v="B"/>
    <s v="社内ユーザ"/>
    <s v="B"/>
    <s v="B"/>
    <s v="B"/>
    <s v="B"/>
    <s v="B"/>
    <s v="24時間365日"/>
    <n v="1"/>
    <s v="堂島"/>
    <n v="1"/>
    <n v="0"/>
    <m/>
    <x v="3"/>
    <x v="4"/>
    <x v="19"/>
    <m/>
    <s v="「アプリ・HW適合性」要確認"/>
    <m/>
  </r>
  <r>
    <s v="E2K10"/>
    <s v="C"/>
    <s v="C"/>
    <s v="B"/>
    <s v="A"/>
    <s v="A"/>
    <s v="B"/>
    <s v="C"/>
    <s v="B"/>
    <s v="B"/>
    <s v="A"/>
    <s v="B"/>
    <s v="B"/>
    <s v="A"/>
    <s v="A"/>
    <s v="社内ユーザ"/>
    <s v="B"/>
    <s v="A"/>
    <s v="B"/>
    <s v="B"/>
    <s v="A"/>
    <s v="24時間365日"/>
    <n v="22"/>
    <s v="堂島"/>
    <n v="22"/>
    <n v="0"/>
    <m/>
    <x v="1"/>
    <x v="1"/>
    <x v="20"/>
    <m/>
    <s v="「アプリ・HW適合性」要確認"/>
    <m/>
  </r>
  <r>
    <s v="VDI用"/>
    <s v="X_x000a_（Citrixライセンス）"/>
    <s v="X_x000a_（Citrixライセンス）"/>
    <s v="B"/>
    <s v="A"/>
    <s v="A"/>
    <s v="B"/>
    <s v="C"/>
    <s v="B"/>
    <s v="B"/>
    <s v="B"/>
    <s v="B"/>
    <s v="B"/>
    <s v="A"/>
    <s v="A"/>
    <s v="社内ユーザ"/>
    <s v="B"/>
    <s v="B"/>
    <s v="B"/>
    <s v="B"/>
    <s v="A"/>
    <s v="24時間365日"/>
    <n v="16"/>
    <s v="堂島"/>
    <n v="16"/>
    <n v="0"/>
    <m/>
    <x v="6"/>
    <x v="6"/>
    <x v="21"/>
    <m/>
    <m/>
    <m/>
  </r>
  <r>
    <s v="iFilter"/>
    <s v="C"/>
    <s v="C"/>
    <s v="B"/>
    <s v="B"/>
    <s v="C"/>
    <s v="B"/>
    <s v="C"/>
    <s v="B"/>
    <s v="B"/>
    <s v="B"/>
    <s v="B"/>
    <s v="B"/>
    <s v="B"/>
    <s v="B"/>
    <s v="社内ユーザ"/>
    <s v="B"/>
    <s v="B"/>
    <s v="B"/>
    <s v="D"/>
    <s v="B"/>
    <s v="24時間365日"/>
    <n v="4"/>
    <s v="堂島"/>
    <n v="4"/>
    <n v="0"/>
    <m/>
    <x v="3"/>
    <x v="4"/>
    <x v="22"/>
    <m/>
    <s v="「アプリ・HW適合性」要確認"/>
    <m/>
  </r>
  <r>
    <s v="SMTPサーバ"/>
    <s v="C"/>
    <s v="C"/>
    <s v="B"/>
    <s v="B"/>
    <s v="B"/>
    <s v="B"/>
    <s v="C"/>
    <s v="B"/>
    <s v="B"/>
    <s v="B"/>
    <s v="B"/>
    <s v="B"/>
    <s v="B"/>
    <s v="B"/>
    <s v="社内ユーザ"/>
    <s v="B"/>
    <s v="B"/>
    <s v="B"/>
    <s v="D"/>
    <s v="B"/>
    <s v="24時間365日"/>
    <n v="1"/>
    <s v="堂島"/>
    <n v="1"/>
    <n v="0"/>
    <m/>
    <x v="2"/>
    <x v="0"/>
    <x v="23"/>
    <m/>
    <s v="「アプリ・HW適合性」要確認"/>
    <m/>
  </r>
  <r>
    <s v="プロキシサーバ"/>
    <s v="C"/>
    <s v="C"/>
    <s v="B"/>
    <s v="B"/>
    <s v="C"/>
    <s v="B"/>
    <s v="C"/>
    <s v="B"/>
    <s v="B"/>
    <s v="B"/>
    <s v="B"/>
    <s v="B"/>
    <s v="B"/>
    <s v="B"/>
    <s v="社内ユーザ"/>
    <s v="B"/>
    <s v="B"/>
    <s v="B"/>
    <s v="D"/>
    <s v="B"/>
    <s v="24時間365日"/>
    <n v="1"/>
    <s v="堂島"/>
    <n v="1"/>
    <n v="0"/>
    <m/>
    <x v="3"/>
    <x v="4"/>
    <x v="22"/>
    <m/>
    <s v="「アプリ・HW適合性」要確認"/>
    <m/>
  </r>
  <r>
    <s v="SCCM2012R2"/>
    <s v="C"/>
    <s v="C"/>
    <s v="B"/>
    <s v="B"/>
    <s v="C"/>
    <s v="B"/>
    <s v="C"/>
    <s v="B"/>
    <s v="B"/>
    <s v="B"/>
    <s v="B"/>
    <s v="B"/>
    <s v="B"/>
    <s v="B"/>
    <s v="社内ユーザ"/>
    <s v="B"/>
    <s v="B"/>
    <s v="B"/>
    <s v="D"/>
    <s v="B"/>
    <s v="24時間365日_x000a_※特に指定していない"/>
    <n v="1"/>
    <s v="堂島"/>
    <n v="1"/>
    <n v="0"/>
    <m/>
    <x v="0"/>
    <x v="0"/>
    <x v="0"/>
    <m/>
    <s v="「アプリ・HW適合性」要確認"/>
    <m/>
  </r>
  <r>
    <s v="GDMS"/>
    <s v="C"/>
    <s v="C"/>
    <s v="B"/>
    <s v="B"/>
    <s v="C"/>
    <s v="B"/>
    <s v="C"/>
    <s v="B"/>
    <s v="B"/>
    <s v="B"/>
    <s v="B"/>
    <s v="B"/>
    <s v="B"/>
    <s v="B"/>
    <s v="社内ユーザ"/>
    <s v="B"/>
    <s v="B"/>
    <s v="B"/>
    <s v="D"/>
    <s v="B"/>
    <s v="24時間365日_x000a_※特に指定していない"/>
    <n v="1"/>
    <s v="堂島"/>
    <n v="1"/>
    <n v="0"/>
    <m/>
    <x v="0"/>
    <x v="0"/>
    <x v="0"/>
    <m/>
    <s v="「アプリ・HW適合性」要確認"/>
    <m/>
  </r>
  <r>
    <s v="NetCrunch"/>
    <s v="C"/>
    <s v="C"/>
    <s v="B"/>
    <s v="B"/>
    <s v="C"/>
    <s v="B"/>
    <s v="C"/>
    <s v="B"/>
    <s v="B"/>
    <s v="A"/>
    <s v="B"/>
    <s v="B"/>
    <s v="B"/>
    <s v="B"/>
    <s v="社内ユーザ"/>
    <s v="B"/>
    <s v="B"/>
    <s v="B"/>
    <s v="D"/>
    <s v="B"/>
    <s v="24時間365日"/>
    <n v="1"/>
    <s v="堂島"/>
    <n v="1"/>
    <n v="0"/>
    <m/>
    <x v="2"/>
    <x v="1"/>
    <x v="24"/>
    <s v="死活監視のみ"/>
    <m/>
    <m/>
  </r>
  <r>
    <s v="System Center Operations Manager"/>
    <s v="C"/>
    <s v="C"/>
    <s v="B"/>
    <s v="B"/>
    <s v="C"/>
    <s v="B"/>
    <s v="C"/>
    <s v="B"/>
    <s v="B"/>
    <s v="B"/>
    <s v="B"/>
    <s v="B"/>
    <s v="B"/>
    <s v="B"/>
    <s v="社内ユーザ"/>
    <s v="B"/>
    <s v="B"/>
    <s v="B"/>
    <s v="D"/>
    <s v="B"/>
    <s v="24時間365日_x000a_※特に指定していない"/>
    <n v="1"/>
    <s v="堂島"/>
    <n v="1"/>
    <n v="0"/>
    <m/>
    <x v="0"/>
    <x v="0"/>
    <x v="0"/>
    <m/>
    <s v="「アプリ・HW適合性」要確認"/>
    <m/>
  </r>
  <r>
    <s v="HIPプリンタサーバ"/>
    <s v="C"/>
    <s v="C"/>
    <s v="B"/>
    <s v="B"/>
    <s v="A"/>
    <s v="B"/>
    <s v="C"/>
    <s v="B"/>
    <s v="B"/>
    <s v="B"/>
    <s v="B"/>
    <s v="B"/>
    <s v="B"/>
    <s v="B"/>
    <s v="社内ユーザ"/>
    <s v="B"/>
    <s v="B"/>
    <s v="B"/>
    <s v="B"/>
    <s v="B"/>
    <s v="24時間365日"/>
    <n v="2"/>
    <s v="堂島"/>
    <n v="2"/>
    <n v="0"/>
    <m/>
    <x v="1"/>
    <x v="1"/>
    <x v="20"/>
    <m/>
    <s v="「アプリ・HW適合性」要確認"/>
    <m/>
  </r>
  <r>
    <s v="TTJ SFA中継サーバー"/>
    <s v="C"/>
    <s v="C"/>
    <s v="B"/>
    <s v="B"/>
    <s v="C"/>
    <s v="B"/>
    <s v="C"/>
    <s v="B"/>
    <s v="B"/>
    <s v="A"/>
    <s v="B"/>
    <s v="B"/>
    <s v="B"/>
    <s v="B"/>
    <s v="社内ユーザ"/>
    <s v="B"/>
    <s v="B"/>
    <s v="B"/>
    <s v="D"/>
    <s v="B"/>
    <s v="24時間365日_x000a_※特に指定していない"/>
    <n v="1"/>
    <s v="堂島"/>
    <n v="1"/>
    <n v="0"/>
    <m/>
    <x v="1"/>
    <x v="1"/>
    <x v="25"/>
    <m/>
    <m/>
    <m/>
  </r>
  <r>
    <s v="HP Device Manager"/>
    <s v="C"/>
    <s v="C"/>
    <s v="B"/>
    <s v="B"/>
    <s v="C"/>
    <s v="B"/>
    <s v="C"/>
    <s v="B"/>
    <s v="B"/>
    <s v="B"/>
    <s v="B"/>
    <s v="B"/>
    <s v="B"/>
    <s v="B"/>
    <s v="社内ユーザ"/>
    <s v="B"/>
    <s v="B"/>
    <s v="B"/>
    <s v="D"/>
    <s v="B"/>
    <s v="24時間365日_x000a_※特に指定していない"/>
    <n v="1"/>
    <s v="堂島"/>
    <n v="1"/>
    <n v="0"/>
    <m/>
    <x v="0"/>
    <x v="0"/>
    <x v="0"/>
    <m/>
    <s v="「アプリ・HW適合性」要確認"/>
    <m/>
  </r>
  <r>
    <s v="System Center Virtual Machine Manager"/>
    <s v="C"/>
    <s v="C"/>
    <s v="B"/>
    <s v="B"/>
    <s v="C"/>
    <s v="B"/>
    <s v="C"/>
    <s v="B"/>
    <s v="B"/>
    <s v="B"/>
    <s v="B"/>
    <s v="B"/>
    <s v="B"/>
    <s v="B"/>
    <s v="社内ユーザ"/>
    <s v="B"/>
    <s v="B"/>
    <s v="B"/>
    <s v="D"/>
    <s v="B"/>
    <s v="24時間365日_x000a_※特に指定していない"/>
    <n v="1"/>
    <s v="堂島"/>
    <n v="1"/>
    <n v="0"/>
    <m/>
    <x v="0"/>
    <x v="0"/>
    <x v="0"/>
    <m/>
    <s v="「アプリ・HW適合性」要確認"/>
    <m/>
  </r>
  <r>
    <s v="StorSimple"/>
    <s v="C"/>
    <s v="C"/>
    <s v="B"/>
    <s v="A"/>
    <s v="A"/>
    <s v="B"/>
    <s v="C"/>
    <s v="B"/>
    <s v="B"/>
    <s v="A"/>
    <s v="B"/>
    <s v="B"/>
    <s v="A"/>
    <s v="A"/>
    <s v="社内ユーザ"/>
    <s v="B"/>
    <s v="B"/>
    <s v="B"/>
    <s v="C"/>
    <s v="A"/>
    <s v="24時間365日"/>
    <n v="3"/>
    <s v="堂島"/>
    <n v="3"/>
    <n v="0"/>
    <m/>
    <x v="7"/>
    <x v="1"/>
    <x v="26"/>
    <m/>
    <s v="「アプリ・HW適合性」要確認"/>
    <m/>
  </r>
  <r>
    <s v="MobileIron"/>
    <m/>
    <m/>
    <m/>
    <m/>
    <m/>
    <m/>
    <m/>
    <m/>
    <m/>
    <m/>
    <m/>
    <m/>
    <m/>
    <m/>
    <m/>
    <m/>
    <m/>
    <m/>
    <m/>
    <m/>
    <m/>
    <n v="1"/>
    <s v="堂島"/>
    <n v="1"/>
    <n v="0"/>
    <m/>
    <x v="1"/>
    <x v="1"/>
    <x v="27"/>
    <m/>
    <m/>
    <m/>
  </r>
  <r>
    <s v="Windows Server Update Services"/>
    <s v="C"/>
    <s v="C"/>
    <s v="B"/>
    <s v="B"/>
    <s v="C"/>
    <s v="B"/>
    <s v="C"/>
    <s v="B"/>
    <s v="B"/>
    <s v="B"/>
    <s v="B"/>
    <s v="B"/>
    <s v="B"/>
    <s v="B"/>
    <s v="社内ユーザ"/>
    <s v="B"/>
    <s v="B"/>
    <s v="B"/>
    <s v="D"/>
    <s v="B"/>
    <s v="24時間365日_x000a_※特に指定していない"/>
    <n v="5"/>
    <s v="堂島"/>
    <n v="5"/>
    <n v="0"/>
    <m/>
    <x v="0"/>
    <x v="0"/>
    <x v="0"/>
    <m/>
    <s v="「アプリ・HW適合性」要確認"/>
    <m/>
  </r>
  <r>
    <s v="セキュアカメラ"/>
    <s v="C"/>
    <s v="C"/>
    <s v="B"/>
    <s v="B"/>
    <s v="C"/>
    <s v="B"/>
    <s v="C"/>
    <s v="B"/>
    <s v="B"/>
    <s v="A"/>
    <s v="B"/>
    <s v="B"/>
    <s v="B"/>
    <s v="B"/>
    <s v="社内ユーザ"/>
    <s v="B"/>
    <s v="B"/>
    <s v="B"/>
    <s v="D"/>
    <s v="B"/>
    <s v="24時間365日_x000a_※特に指定していない"/>
    <n v="1"/>
    <s v="堂島"/>
    <n v="1"/>
    <n v="0"/>
    <m/>
    <x v="3"/>
    <x v="4"/>
    <x v="28"/>
    <s v="iPhone で、写真を撮影すると、Internet経由でリバプロ通してサーバに保管する。iPhone から保存済の写真を消す仕組み。アップロード型であるが、ダウンロードする場合は容量がある程度ある。"/>
    <s v="「アプリ・HW適合性」要確認"/>
    <m/>
  </r>
  <r>
    <s v="LanScopeCat"/>
    <s v="B"/>
    <s v="B"/>
    <s v="B"/>
    <s v="B"/>
    <s v="C"/>
    <s v="B"/>
    <s v="C"/>
    <s v="B"/>
    <s v="B"/>
    <s v="B"/>
    <s v="B"/>
    <s v="B"/>
    <s v="B"/>
    <s v="B"/>
    <s v="社内ユーザ"/>
    <s v="B"/>
    <s v="B"/>
    <s v="B"/>
    <s v="C"/>
    <s v="B"/>
    <s v="24時間365日_x000a_※特に指定していない"/>
    <n v="8"/>
    <s v="堂島"/>
    <n v="8"/>
    <n v="0"/>
    <m/>
    <x v="0"/>
    <x v="0"/>
    <x v="0"/>
    <m/>
    <m/>
    <m/>
  </r>
  <r>
    <s v="McafeeMove"/>
    <s v="C"/>
    <s v="C"/>
    <s v="B"/>
    <s v="B"/>
    <s v="C"/>
    <s v="B"/>
    <s v="C"/>
    <s v="B"/>
    <s v="B"/>
    <s v="B"/>
    <s v="B"/>
    <s v="B"/>
    <s v="B"/>
    <s v="B"/>
    <s v="社内ユーザ"/>
    <s v="B"/>
    <s v="B"/>
    <s v="B"/>
    <s v="D"/>
    <s v="B"/>
    <s v="24時間365日"/>
    <n v="1"/>
    <s v="堂島"/>
    <n v="1"/>
    <n v="0"/>
    <m/>
    <x v="5"/>
    <x v="1"/>
    <x v="29"/>
    <m/>
    <s v="「アプリ・HW適合性」要確認"/>
    <m/>
  </r>
  <r>
    <s v="McAfee EPO"/>
    <s v="C"/>
    <s v="C"/>
    <s v="B"/>
    <s v="B"/>
    <s v="C"/>
    <s v="B"/>
    <s v="C"/>
    <s v="B"/>
    <s v="B"/>
    <s v="B"/>
    <s v="B"/>
    <s v="B"/>
    <s v="B"/>
    <s v="B"/>
    <s v="社内ユーザ"/>
    <s v="B"/>
    <s v="B"/>
    <s v="B"/>
    <s v="D"/>
    <s v="B"/>
    <s v="24時間365日_x000a_※特に指定していない"/>
    <n v="2"/>
    <s v="堂島"/>
    <n v="2"/>
    <n v="0"/>
    <m/>
    <x v="0"/>
    <x v="0"/>
    <x v="0"/>
    <m/>
    <s v="「アプリ・HW適合性」要確認"/>
    <m/>
  </r>
  <r>
    <s v="IO"/>
    <s v="X_x000a_（IBMWebSphere_x000a_Oracle）"/>
    <s v="C"/>
    <s v="B"/>
    <s v="A"/>
    <s v="A"/>
    <s v="B"/>
    <s v="A"/>
    <s v="B"/>
    <s v="B"/>
    <s v="A"/>
    <s v="B"/>
    <s v="A"/>
    <s v="B"/>
    <s v="B"/>
    <s v="社内ユーザ_x000a_/社外ユーザ(一部)_x000a_約260名"/>
    <s v="B"/>
    <s v="A"/>
    <s v="A"/>
    <s v="B"/>
    <s v="B"/>
    <s v="24時間365日"/>
    <n v="22"/>
    <s v="堂島"/>
    <n v="0"/>
    <n v="18"/>
    <m/>
    <x v="6"/>
    <x v="2"/>
    <x v="30"/>
    <m/>
    <m/>
    <m/>
  </r>
  <r>
    <s v="KNHVDI"/>
    <s v="X_x000a_（Citrixライセンス）"/>
    <s v="A_x000a_（GPU利用）"/>
    <s v="B"/>
    <s v="A"/>
    <s v="A"/>
    <s v="B"/>
    <s v="C"/>
    <s v="B"/>
    <s v="B"/>
    <s v="B"/>
    <s v="B"/>
    <s v="B"/>
    <s v="A"/>
    <s v="A"/>
    <s v="社内ユーザ"/>
    <s v="B"/>
    <s v="B"/>
    <s v="A"/>
    <s v="B"/>
    <s v="A"/>
    <s v="24時間365日"/>
    <n v="18"/>
    <s v="堂島"/>
    <n v="18"/>
    <n v="0"/>
    <m/>
    <x v="6"/>
    <x v="6"/>
    <x v="21"/>
    <m/>
    <m/>
    <m/>
  </r>
  <r>
    <s v="AirWatch"/>
    <s v="C"/>
    <s v="C"/>
    <s v="B"/>
    <s v="B"/>
    <s v="B"/>
    <s v="B"/>
    <s v="C"/>
    <s v="B"/>
    <s v="B"/>
    <s v="A"/>
    <s v="B"/>
    <s v="B"/>
    <s v="B"/>
    <s v="B"/>
    <s v="社内ユーザ"/>
    <s v="B"/>
    <s v="B"/>
    <s v="A"/>
    <s v="D"/>
    <s v="B"/>
    <s v="24時間365日"/>
    <n v="2"/>
    <s v="堂島"/>
    <n v="2"/>
    <n v="0"/>
    <m/>
    <x v="3"/>
    <x v="4"/>
    <x v="22"/>
    <m/>
    <s v="「アプリ・HW適合性」要確認"/>
    <m/>
  </r>
  <r>
    <s v="TMGテスト機"/>
    <s v="C"/>
    <s v="C"/>
    <s v="B"/>
    <s v="B"/>
    <s v="C"/>
    <s v="B"/>
    <s v="C"/>
    <s v="B"/>
    <s v="B"/>
    <s v="B"/>
    <s v="B"/>
    <s v="B"/>
    <s v="B"/>
    <s v="B"/>
    <s v="社内ユーザ"/>
    <s v="B"/>
    <s v="B"/>
    <s v="B"/>
    <s v="D"/>
    <s v="B"/>
    <s v="24時間365日_x000a_※特に指定していない"/>
    <n v="1"/>
    <s v="堂島"/>
    <n v="1"/>
    <n v="0"/>
    <m/>
    <x v="0"/>
    <x v="0"/>
    <x v="0"/>
    <m/>
    <s v="「アプリ・HW適合性」要確認"/>
    <m/>
  </r>
  <r>
    <s v="Ariba"/>
    <m/>
    <m/>
    <m/>
    <m/>
    <m/>
    <m/>
    <m/>
    <m/>
    <m/>
    <m/>
    <m/>
    <m/>
    <m/>
    <m/>
    <m/>
    <m/>
    <m/>
    <m/>
    <s v="★"/>
    <m/>
    <m/>
    <n v="4"/>
    <s v="堂島"/>
    <m/>
    <n v="4"/>
    <m/>
    <x v="1"/>
    <x v="1"/>
    <x v="31"/>
    <m/>
    <m/>
    <m/>
  </r>
  <r>
    <s v="CADIOS TTM"/>
    <s v="B"/>
    <s v="B"/>
    <s v="B"/>
    <s v="A"/>
    <s v="B"/>
    <s v="B"/>
    <s v="C"/>
    <s v="B"/>
    <s v="B"/>
    <s v="A"/>
    <s v="B"/>
    <s v="A"/>
    <s v="A"/>
    <s v="B"/>
    <s v="社内ユーザ"/>
    <s v="B"/>
    <s v="A"/>
    <s v="A"/>
    <s v="B"/>
    <s v="B"/>
    <s v="24時間365日"/>
    <n v="3"/>
    <s v="堂島"/>
    <n v="0"/>
    <n v="3"/>
    <m/>
    <x v="0"/>
    <x v="0"/>
    <x v="3"/>
    <s v="日本と北米はAWS化済"/>
    <m/>
    <m/>
  </r>
  <r>
    <s v="CPSサーバ"/>
    <s v="C"/>
    <s v="C"/>
    <s v="B"/>
    <s v="B"/>
    <s v="B"/>
    <s v="B"/>
    <s v="C"/>
    <s v="B"/>
    <s v="X"/>
    <s v="A"/>
    <s v="B"/>
    <s v="B"/>
    <s v="B"/>
    <s v="B"/>
    <s v="社内ユーザ"/>
    <s v="B"/>
    <s v="B"/>
    <s v="B"/>
    <s v="D"/>
    <s v="B"/>
    <s v="24時間365日"/>
    <n v="1"/>
    <s v="堂島"/>
    <m/>
    <n v="1"/>
    <m/>
    <x v="0"/>
    <x v="0"/>
    <x v="3"/>
    <m/>
    <s v="「アプリ・HW適合性」要確認"/>
    <m/>
  </r>
  <r>
    <s v="OBIサーバ_x000a_※VMのみのため除外"/>
    <m/>
    <m/>
    <m/>
    <m/>
    <m/>
    <m/>
    <m/>
    <s v="B"/>
    <s v="X"/>
    <m/>
    <m/>
    <m/>
    <m/>
    <m/>
    <m/>
    <m/>
    <m/>
    <m/>
    <m/>
    <m/>
    <m/>
    <n v="1"/>
    <s v="堂島"/>
    <m/>
    <n v="1"/>
    <m/>
    <x v="1"/>
    <x v="1"/>
    <x v="32"/>
    <m/>
    <m/>
    <m/>
  </r>
  <r>
    <s v="年計予算"/>
    <s v="C"/>
    <s v="C"/>
    <s v="B"/>
    <s v="B"/>
    <s v="A"/>
    <s v="B"/>
    <s v="C"/>
    <s v="B"/>
    <s v="X"/>
    <s v="A"/>
    <s v="B"/>
    <s v="A"/>
    <s v="B"/>
    <s v="B"/>
    <s v="社内ユーザ"/>
    <s v="B"/>
    <s v="A"/>
    <s v="B"/>
    <s v="D"/>
    <s v="B"/>
    <s v="24時間365日"/>
    <n v="2"/>
    <s v="堂島"/>
    <m/>
    <n v="2"/>
    <m/>
    <x v="3"/>
    <x v="0"/>
    <x v="33"/>
    <m/>
    <s v="「アプリ・HW適合性」要確認"/>
    <m/>
  </r>
  <r>
    <s v="JSサーバー_x000a_※下行と重複"/>
    <m/>
    <m/>
    <m/>
    <m/>
    <m/>
    <m/>
    <m/>
    <s v="B"/>
    <s v="X"/>
    <m/>
    <m/>
    <m/>
    <m/>
    <m/>
    <m/>
    <m/>
    <m/>
    <m/>
    <m/>
    <m/>
    <m/>
    <n v="0"/>
    <s v="堂島"/>
    <m/>
    <m/>
    <s v="除外"/>
    <x v="4"/>
    <x v="3"/>
    <x v="5"/>
    <m/>
    <m/>
    <m/>
  </r>
  <r>
    <s v="労働時間管理システム"/>
    <s v="C"/>
    <s v="C"/>
    <s v="B"/>
    <s v="B"/>
    <s v="C"/>
    <s v="B"/>
    <s v="C"/>
    <s v="B"/>
    <s v="X"/>
    <s v="A"/>
    <s v="B"/>
    <s v="B"/>
    <s v="B"/>
    <s v="B"/>
    <s v="社内ユーザ"/>
    <s v="B"/>
    <s v="B"/>
    <s v="B"/>
    <s v="D"/>
    <s v="B"/>
    <s v="24時間365日"/>
    <n v="2"/>
    <s v="堂島"/>
    <m/>
    <n v="2"/>
    <m/>
    <x v="3"/>
    <x v="4"/>
    <x v="34"/>
    <m/>
    <s v="「アプリ・HW適合性」要確認"/>
    <m/>
  </r>
  <r>
    <s v="知財管理システム"/>
    <s v="C"/>
    <s v="C"/>
    <s v="B"/>
    <s v="B"/>
    <s v="B"/>
    <s v="B"/>
    <s v="C"/>
    <s v="B"/>
    <s v="X"/>
    <s v="B"/>
    <s v="B"/>
    <s v="B"/>
    <s v="A"/>
    <s v="B"/>
    <s v="社内ユーザ"/>
    <s v="B"/>
    <s v="B"/>
    <s v="B"/>
    <s v="C"/>
    <s v="B"/>
    <s v="24時間365日"/>
    <n v="2"/>
    <s v="堂島"/>
    <m/>
    <n v="2"/>
    <m/>
    <x v="0"/>
    <x v="0"/>
    <x v="3"/>
    <m/>
    <s v="「アプリ・HW適合性」要確認"/>
    <m/>
  </r>
  <r>
    <s v="メールアーカイブ"/>
    <s v="C"/>
    <s v="C"/>
    <s v="B"/>
    <s v="B"/>
    <s v="C"/>
    <s v="B"/>
    <s v="C"/>
    <s v="B"/>
    <s v="X"/>
    <s v="A"/>
    <s v="B"/>
    <s v="B"/>
    <s v="A"/>
    <s v="A"/>
    <s v="社内ユーザ"/>
    <s v="B"/>
    <s v="B"/>
    <s v="B"/>
    <s v="C"/>
    <s v="A"/>
    <s v="24時間365日"/>
    <n v="2"/>
    <s v="堂島"/>
    <m/>
    <n v="2"/>
    <m/>
    <x v="0"/>
    <x v="0"/>
    <x v="35"/>
    <m/>
    <s v="「アプリ・HW適合性」要確認"/>
    <m/>
  </r>
  <r>
    <s v="グローバル需給"/>
    <s v="X_x000a_（IBMGIViewPlanner_x000a_DB2）"/>
    <s v="C"/>
    <s v="B"/>
    <s v="B"/>
    <s v="B"/>
    <s v="B"/>
    <s v="C"/>
    <s v="B"/>
    <s v="X"/>
    <s v="A"/>
    <s v="B"/>
    <s v="B"/>
    <s v="B"/>
    <s v="B"/>
    <s v="社内ユーザ"/>
    <s v="B"/>
    <s v="A"/>
    <s v="B"/>
    <s v="D"/>
    <s v="B"/>
    <s v="24時間365日"/>
    <n v="7"/>
    <s v="堂島"/>
    <m/>
    <n v="7"/>
    <m/>
    <x v="0"/>
    <x v="7"/>
    <x v="36"/>
    <m/>
    <m/>
    <m/>
  </r>
  <r>
    <s v="バックアップ環境統合"/>
    <s v="C"/>
    <s v="C"/>
    <s v="B"/>
    <s v="B"/>
    <s v="C"/>
    <s v="B"/>
    <s v="C"/>
    <s v="B"/>
    <s v="X"/>
    <s v="A"/>
    <s v="B"/>
    <s v="B"/>
    <s v="B"/>
    <s v="B"/>
    <s v="社内ユーザ"/>
    <s v="B"/>
    <s v="B"/>
    <s v="B"/>
    <s v="D"/>
    <s v="A"/>
    <s v="24時間365日"/>
    <n v="3"/>
    <s v="堂島"/>
    <m/>
    <n v="3"/>
    <m/>
    <x v="2"/>
    <x v="1"/>
    <x v="37"/>
    <m/>
    <s v="「アプリ・HW適合性」要確認"/>
    <m/>
  </r>
  <r>
    <s v="DWH"/>
    <s v="C"/>
    <s v="C"/>
    <s v="B"/>
    <s v="A"/>
    <s v="A"/>
    <s v="B"/>
    <s v="C"/>
    <s v="B"/>
    <s v="X"/>
    <s v="A"/>
    <s v="B"/>
    <s v="B"/>
    <s v="B"/>
    <s v="B"/>
    <s v="社内ユーザ"/>
    <s v="B"/>
    <s v="A"/>
    <s v="B"/>
    <s v="B"/>
    <s v="A"/>
    <s v="24時間365日"/>
    <n v="1"/>
    <s v="堂島"/>
    <m/>
    <n v="1"/>
    <m/>
    <x v="3"/>
    <x v="5"/>
    <x v="38"/>
    <m/>
    <s v="「アプリ・HW適合性」要確認"/>
    <m/>
  </r>
  <r>
    <s v="JNX関連サーバ"/>
    <s v="C"/>
    <s v="C"/>
    <s v="B"/>
    <s v="B"/>
    <s v="B"/>
    <s v="B"/>
    <s v="C"/>
    <s v="B"/>
    <s v="X"/>
    <s v="A"/>
    <s v="B"/>
    <s v="B"/>
    <s v="B"/>
    <s v="B"/>
    <s v="社内ユーザ"/>
    <s v="B"/>
    <s v="B"/>
    <s v="B"/>
    <s v="B"/>
    <s v="B"/>
    <s v="24時間365日"/>
    <n v="1"/>
    <s v="堂島"/>
    <m/>
    <n v="1"/>
    <m/>
    <x v="0"/>
    <x v="0"/>
    <x v="3"/>
    <m/>
    <s v="「アプリ・HW適合性」要確認"/>
    <m/>
  </r>
  <r>
    <s v="TELSTAFF"/>
    <s v="C"/>
    <s v="A_x000a_（専用HW）"/>
    <s v="B"/>
    <s v="B"/>
    <s v="C"/>
    <s v="B"/>
    <s v="C"/>
    <s v="B"/>
    <s v="X"/>
    <s v="A"/>
    <s v="B"/>
    <s v="B"/>
    <s v="B"/>
    <s v="B"/>
    <s v="社内ユーザ"/>
    <s v="B"/>
    <s v="A"/>
    <s v="B"/>
    <s v="D"/>
    <s v="B"/>
    <s v="24時間365日"/>
    <n v="1"/>
    <s v="堂島"/>
    <m/>
    <n v="1"/>
    <m/>
    <x v="6"/>
    <x v="6"/>
    <x v="39"/>
    <m/>
    <m/>
    <m/>
  </r>
  <r>
    <s v="インターネットGW"/>
    <s v="C"/>
    <s v="C"/>
    <s v="B"/>
    <s v="B"/>
    <s v="A"/>
    <s v="B"/>
    <s v="C"/>
    <s v="B"/>
    <s v="X"/>
    <s v="B"/>
    <s v="B"/>
    <s v="B"/>
    <s v="B"/>
    <s v="B"/>
    <s v="社内ユーザ"/>
    <s v="B"/>
    <s v="B"/>
    <s v="B"/>
    <s v="D"/>
    <s v="B"/>
    <s v="24時間365日"/>
    <n v="3"/>
    <s v="堂島"/>
    <m/>
    <n v="3"/>
    <m/>
    <x v="3"/>
    <x v="4"/>
    <x v="22"/>
    <s v="IWSS/IMSS"/>
    <s v="「アプリ・HW適合性」要確認"/>
    <m/>
  </r>
  <r>
    <s v="中国向けSAP-ERPシステム"/>
    <s v="C"/>
    <s v="C"/>
    <s v="B"/>
    <s v="A"/>
    <s v="B"/>
    <s v="B"/>
    <s v="C"/>
    <s v="B"/>
    <s v="X"/>
    <s v="A"/>
    <s v="B"/>
    <s v="A"/>
    <s v="B"/>
    <s v="B"/>
    <s v="社内ユーザ"/>
    <s v="B"/>
    <s v="A"/>
    <s v="A"/>
    <s v="B"/>
    <s v="B"/>
    <s v="24時間365日"/>
    <n v="1"/>
    <s v="堂島"/>
    <m/>
    <n v="1"/>
    <m/>
    <x v="0"/>
    <x v="0"/>
    <x v="3"/>
    <s v="工場系物流の仕組み"/>
    <s v="「アプリ・HW適合性」要確認"/>
    <m/>
  </r>
  <r>
    <s v="CADIOS TTM"/>
    <m/>
    <m/>
    <m/>
    <m/>
    <m/>
    <m/>
    <m/>
    <m/>
    <m/>
    <m/>
    <m/>
    <m/>
    <m/>
    <m/>
    <m/>
    <m/>
    <m/>
    <m/>
    <m/>
    <m/>
    <m/>
    <n v="3"/>
    <s v="堂島"/>
    <m/>
    <m/>
    <s v="除外"/>
    <x v="0"/>
    <x v="0"/>
    <x v="40"/>
    <m/>
    <m/>
    <m/>
  </r>
  <r>
    <s v="リバースプロキシー"/>
    <s v="C"/>
    <s v="C"/>
    <s v="B"/>
    <s v="B"/>
    <s v="A"/>
    <s v="B"/>
    <s v="C"/>
    <s v="B"/>
    <s v="X"/>
    <s v="B"/>
    <s v="B"/>
    <s v="B"/>
    <s v="B"/>
    <s v="B"/>
    <s v="社内ユーザ"/>
    <s v="B"/>
    <s v="B"/>
    <s v="B"/>
    <s v="D"/>
    <s v="B"/>
    <s v="24時間365日"/>
    <n v="1"/>
    <s v="堂島"/>
    <m/>
    <n v="1"/>
    <m/>
    <x v="2"/>
    <x v="1"/>
    <x v="41"/>
    <m/>
    <s v="「アプリ・HW適合性」要確認"/>
    <m/>
  </r>
  <r>
    <s v="システムセンター系サーバ"/>
    <s v="C"/>
    <s v="C"/>
    <s v="B"/>
    <s v="B"/>
    <s v="C"/>
    <s v="B"/>
    <s v="C"/>
    <s v="B"/>
    <s v="X"/>
    <s v="B"/>
    <s v="B"/>
    <s v="B"/>
    <s v="B"/>
    <s v="B"/>
    <s v="社内ユーザ"/>
    <s v="B"/>
    <s v="B"/>
    <s v="B"/>
    <s v="D"/>
    <s v="B"/>
    <s v="24時間365日_x000a_※特に指定していない"/>
    <n v="0"/>
    <s v="堂島"/>
    <m/>
    <m/>
    <s v="除外"/>
    <x v="0"/>
    <x v="0"/>
    <x v="0"/>
    <m/>
    <s v="「アプリ・HW適合性」要確認"/>
    <m/>
  </r>
  <r>
    <s v="仮想化クライアント環境"/>
    <s v="C"/>
    <s v="C"/>
    <s v="B"/>
    <s v="B"/>
    <s v="C"/>
    <s v="B"/>
    <s v="C"/>
    <s v="B"/>
    <s v="X"/>
    <s v="B"/>
    <s v="B"/>
    <s v="B"/>
    <s v="B"/>
    <s v="B"/>
    <s v="社内ユーザ"/>
    <s v="B"/>
    <s v="B"/>
    <s v="B"/>
    <s v="D"/>
    <s v="B"/>
    <s v="24時間365日_x000a_※特に指定していない"/>
    <n v="1"/>
    <s v="堂島"/>
    <m/>
    <n v="1"/>
    <m/>
    <x v="0"/>
    <x v="0"/>
    <x v="0"/>
    <m/>
    <s v="「アプリ・HW適合性」要確認"/>
    <m/>
  </r>
  <r>
    <s v="ロケーションリプレイス"/>
    <s v="C"/>
    <s v="C"/>
    <s v="B"/>
    <s v="A"/>
    <s v="B"/>
    <s v="B"/>
    <s v="C"/>
    <s v="B"/>
    <s v="X"/>
    <s v="A"/>
    <s v="B"/>
    <s v="B"/>
    <s v="B"/>
    <s v="B"/>
    <s v="社内ユーザ"/>
    <s v="B"/>
    <s v="A"/>
    <s v="B"/>
    <s v="B"/>
    <s v="B"/>
    <s v="24時間365日"/>
    <n v="2"/>
    <s v="堂島"/>
    <m/>
    <n v="2"/>
    <m/>
    <x v="6"/>
    <x v="6"/>
    <x v="42"/>
    <m/>
    <s v="「アプリ・HW適合性」要確認"/>
    <m/>
  </r>
  <r>
    <s v="CCS管理"/>
    <s v="C"/>
    <s v="C"/>
    <s v="B"/>
    <s v="B"/>
    <s v="C"/>
    <s v="B"/>
    <s v="C"/>
    <s v="B"/>
    <s v="B"/>
    <s v="B"/>
    <s v="B"/>
    <s v="B"/>
    <s v="B"/>
    <s v="A"/>
    <s v="社内ユーザ"/>
    <s v="B"/>
    <s v="B"/>
    <s v="B"/>
    <s v="D"/>
    <s v="B"/>
    <s v="24時間365日_x000a_※特に指定していない"/>
    <n v="1"/>
    <s v="タイヤ"/>
    <n v="1"/>
    <n v="0"/>
    <m/>
    <x v="0"/>
    <x v="0"/>
    <x v="3"/>
    <m/>
    <s v="「アプリ・HW適合性」要確認"/>
    <m/>
  </r>
  <r>
    <s v="タイヤ試験場実験"/>
    <s v="C"/>
    <s v="C"/>
    <s v="B"/>
    <s v="B"/>
    <s v="B"/>
    <s v="B"/>
    <s v="C"/>
    <s v="B"/>
    <s v="B"/>
    <s v="B"/>
    <s v="B"/>
    <s v="B"/>
    <s v="B"/>
    <s v="B"/>
    <s v="社内ユーザ"/>
    <s v="B"/>
    <s v="B"/>
    <s v="B"/>
    <s v="D"/>
    <s v="B"/>
    <s v="24時間365日_x000a_※特に指定していない"/>
    <n v="0"/>
    <s v="タイヤ"/>
    <m/>
    <m/>
    <s v="除外"/>
    <x v="0"/>
    <x v="0"/>
    <x v="0"/>
    <m/>
    <s v="「アプリ・HW適合性」要確認"/>
    <m/>
  </r>
  <r>
    <s v="知的資産検索と課題解決"/>
    <s v="C"/>
    <s v="C"/>
    <s v="B"/>
    <s v="B"/>
    <s v="C"/>
    <s v="B"/>
    <s v="C"/>
    <s v="B"/>
    <s v="B"/>
    <s v="B"/>
    <s v="B"/>
    <s v="B"/>
    <s v="B"/>
    <s v="B"/>
    <s v="社内ユーザ"/>
    <s v="B"/>
    <s v="B"/>
    <s v="A"/>
    <s v="D"/>
    <s v="B"/>
    <s v="24時間365日_x000a_※特に指定していない"/>
    <n v="1"/>
    <s v="タイヤ"/>
    <n v="1"/>
    <n v="0"/>
    <m/>
    <x v="0"/>
    <x v="8"/>
    <x v="43"/>
    <m/>
    <s v="「アプリ・HW適合性」要確認"/>
    <m/>
  </r>
  <r>
    <s v="EWSデータ転送"/>
    <s v="C"/>
    <s v="C"/>
    <s v="B"/>
    <s v="B"/>
    <s v="B"/>
    <s v="B"/>
    <s v="C"/>
    <s v="B"/>
    <s v="B"/>
    <s v="B"/>
    <s v="B"/>
    <s v="B"/>
    <s v="B"/>
    <s v="B"/>
    <s v="社内ユーザ"/>
    <s v="B"/>
    <s v="B"/>
    <s v="B"/>
    <s v="D"/>
    <s v="B"/>
    <s v="24時間365日_x000a_※特に指定していない"/>
    <n v="1"/>
    <s v="タイヤ"/>
    <n v="1"/>
    <n v="0"/>
    <m/>
    <x v="0"/>
    <x v="0"/>
    <x v="0"/>
    <m/>
    <s v="「アプリ・HW適合性」要確認"/>
    <m/>
  </r>
  <r>
    <s v="PDF変換"/>
    <s v="C"/>
    <s v="C"/>
    <s v="B"/>
    <s v="B"/>
    <s v="C"/>
    <s v="B"/>
    <s v="C"/>
    <s v="B"/>
    <s v="B"/>
    <s v="B"/>
    <s v="B"/>
    <s v="B"/>
    <s v="B"/>
    <s v="B"/>
    <s v="社内ユーザ"/>
    <s v="B"/>
    <s v="B"/>
    <s v="B"/>
    <s v="D"/>
    <s v="B"/>
    <s v="24時間365日_x000a_※特に指定していない"/>
    <n v="1"/>
    <s v="タイヤ"/>
    <n v="1"/>
    <n v="0"/>
    <m/>
    <x v="0"/>
    <x v="0"/>
    <x v="0"/>
    <m/>
    <s v="「アプリ・HW適合性」要確認"/>
    <m/>
  </r>
  <r>
    <s v="PLM"/>
    <s v="X_x000a_（Oracle_x000a_Enovia）"/>
    <s v="C"/>
    <s v="B"/>
    <s v="A"/>
    <s v="A"/>
    <s v="B"/>
    <s v="C"/>
    <s v="B"/>
    <s v="B"/>
    <s v="A"/>
    <s v="B"/>
    <s v="B"/>
    <s v="A"/>
    <s v="B"/>
    <s v="社内ユーザ"/>
    <s v="B"/>
    <s v="B"/>
    <s v="A"/>
    <s v="B"/>
    <s v="B"/>
    <s v="24時間365日_x000a_※特に指定していない"/>
    <n v="17"/>
    <s v="タイヤ"/>
    <n v="7"/>
    <n v="10"/>
    <m/>
    <x v="3"/>
    <x v="7"/>
    <x v="36"/>
    <m/>
    <m/>
    <m/>
  </r>
  <r>
    <s v="SharePoint(IMH)"/>
    <s v="B"/>
    <s v="B"/>
    <s v="B"/>
    <s v="B"/>
    <s v="C"/>
    <s v="B"/>
    <s v="C"/>
    <s v="B"/>
    <s v="B"/>
    <s v="B"/>
    <s v="B"/>
    <s v="B"/>
    <s v="A"/>
    <s v="B"/>
    <s v="社内ユーザ"/>
    <s v="B"/>
    <s v="B"/>
    <s v="A"/>
    <s v="D"/>
    <s v="B"/>
    <s v="24時間365日_x000a_※特に指定していない"/>
    <n v="6"/>
    <s v="タイヤ"/>
    <n v="6"/>
    <n v="0"/>
    <m/>
    <x v="2"/>
    <x v="1"/>
    <x v="13"/>
    <m/>
    <m/>
    <m/>
  </r>
  <r>
    <s v="VDI（IMH）"/>
    <s v="A_x000a_（Citrix）"/>
    <s v="A_x000a_（GPU利用）"/>
    <s v="B"/>
    <s v="A"/>
    <s v="A"/>
    <s v="B"/>
    <s v="C"/>
    <s v="B"/>
    <s v="A"/>
    <s v="B"/>
    <s v="B"/>
    <s v="B"/>
    <s v="B"/>
    <s v="B"/>
    <s v="社内ユーザ"/>
    <s v="B"/>
    <s v="B"/>
    <s v="A"/>
    <s v="B"/>
    <s v="A"/>
    <s v="24時間365日_x000a_※特に指定していない"/>
    <n v="42"/>
    <s v="タイヤ"/>
    <n v="26"/>
    <n v="16"/>
    <m/>
    <x v="6"/>
    <x v="6"/>
    <x v="21"/>
    <m/>
    <m/>
    <m/>
  </r>
  <r>
    <s v="Visual Studio Team Foundation Server"/>
    <s v="C"/>
    <s v="C"/>
    <s v="B"/>
    <s v="B"/>
    <s v="C"/>
    <s v="B"/>
    <s v="C"/>
    <s v="B"/>
    <s v="B"/>
    <s v="B"/>
    <s v="B"/>
    <s v="B"/>
    <s v="B"/>
    <s v="B"/>
    <s v="社内ユーザ"/>
    <s v="B"/>
    <s v="B"/>
    <s v="B"/>
    <s v="D"/>
    <s v="B"/>
    <s v="24時間365日_x000a_※特に指定していない"/>
    <n v="1"/>
    <s v="タイヤ"/>
    <n v="1"/>
    <n v="0"/>
    <m/>
    <x v="0"/>
    <x v="0"/>
    <x v="0"/>
    <m/>
    <s v="「アプリ・HW適合性」要確認"/>
    <m/>
  </r>
  <r>
    <s v="クレーム推移"/>
    <s v="C"/>
    <s v="C"/>
    <s v="B"/>
    <s v="B"/>
    <s v="C"/>
    <s v="B"/>
    <s v="C"/>
    <s v="B"/>
    <s v="B"/>
    <s v="B"/>
    <s v="B"/>
    <s v="B"/>
    <s v="B"/>
    <s v="A"/>
    <s v="社内ユーザ"/>
    <s v="B"/>
    <s v="B"/>
    <s v="B"/>
    <s v="D"/>
    <s v="B"/>
    <s v="24時間365日_x000a_※特に指定していない"/>
    <n v="1"/>
    <s v="タイヤ"/>
    <n v="1"/>
    <n v="0"/>
    <m/>
    <x v="0"/>
    <x v="0"/>
    <x v="3"/>
    <m/>
    <s v="「アプリ・HW適合性」要確認"/>
    <m/>
  </r>
  <r>
    <s v="スキャニング"/>
    <s v="C"/>
    <s v="C"/>
    <s v="B"/>
    <s v="B"/>
    <s v="C"/>
    <s v="B"/>
    <s v="C"/>
    <s v="B"/>
    <s v="B"/>
    <s v="B"/>
    <s v="B"/>
    <s v="B"/>
    <s v="B"/>
    <s v="B"/>
    <s v="社内ユーザ"/>
    <s v="B"/>
    <s v="B"/>
    <s v="B"/>
    <s v="D"/>
    <s v="B"/>
    <s v="24時間365日_x000a_※特に指定していない"/>
    <n v="1"/>
    <s v="タイヤ"/>
    <n v="1"/>
    <n v="0"/>
    <m/>
    <x v="0"/>
    <x v="0"/>
    <x v="0"/>
    <m/>
    <s v="「アプリ・HW適合性」要確認"/>
    <m/>
  </r>
  <r>
    <s v="ｷﾞﾎﾝ教育"/>
    <s v="C"/>
    <s v="C"/>
    <s v="B"/>
    <s v="B"/>
    <s v="C"/>
    <s v="B"/>
    <s v="C"/>
    <s v="B"/>
    <s v="B"/>
    <s v="B"/>
    <s v="B"/>
    <s v="B"/>
    <s v="B"/>
    <s v="A"/>
    <s v="社内ユーザ"/>
    <s v="B"/>
    <s v="B"/>
    <s v="B"/>
    <s v="D"/>
    <s v="B"/>
    <s v="24時間365日_x000a_※特に指定していない"/>
    <n v="1"/>
    <s v="タイヤ"/>
    <n v="1"/>
    <n v="0"/>
    <m/>
    <x v="0"/>
    <x v="0"/>
    <x v="3"/>
    <m/>
    <s v="「アプリ・HW適合性」要確認"/>
    <m/>
  </r>
  <r>
    <s v="CADIOS検索用"/>
    <s v="C"/>
    <s v="C"/>
    <s v="B"/>
    <s v="B"/>
    <s v="C"/>
    <s v="B"/>
    <s v="C"/>
    <s v="B"/>
    <s v="B"/>
    <s v="B"/>
    <s v="B"/>
    <s v="B"/>
    <s v="B"/>
    <s v="B"/>
    <s v="社内ユーザ"/>
    <s v="B"/>
    <s v="B"/>
    <s v="A"/>
    <s v="D"/>
    <s v="B"/>
    <s v="24時間365日_x000a_※特に指定していない"/>
    <n v="1"/>
    <s v="タイヤ"/>
    <n v="1"/>
    <n v="0"/>
    <m/>
    <x v="0"/>
    <x v="8"/>
    <x v="43"/>
    <m/>
    <s v="「アプリ・HW適合性」要確認"/>
    <m/>
  </r>
  <r>
    <s v="AdvanceCAD"/>
    <s v="C"/>
    <s v="C"/>
    <s v="B"/>
    <s v="B"/>
    <s v="B"/>
    <s v="B"/>
    <s v="C"/>
    <s v="B"/>
    <s v="B"/>
    <s v="B"/>
    <s v="B"/>
    <s v="B"/>
    <s v="B"/>
    <s v="B"/>
    <s v="社内ユーザ"/>
    <s v="B"/>
    <s v="B"/>
    <s v="B"/>
    <s v="D"/>
    <s v="B"/>
    <s v="24時間365日_x000a_※特に指定していない"/>
    <n v="1"/>
    <s v="タイヤ"/>
    <n v="1"/>
    <n v="0"/>
    <m/>
    <x v="0"/>
    <x v="0"/>
    <x v="0"/>
    <m/>
    <s v="「アプリ・HW適合性」要確認"/>
    <m/>
  </r>
  <r>
    <s v="DHCP（IMH）"/>
    <s v="C"/>
    <s v="C"/>
    <s v="B"/>
    <s v="A"/>
    <s v="B"/>
    <s v="B"/>
    <s v="C"/>
    <s v="B"/>
    <s v="B"/>
    <s v="B"/>
    <s v="B"/>
    <s v="B"/>
    <s v="B"/>
    <s v="B"/>
    <s v="社内ユーザ"/>
    <s v="B"/>
    <s v="B"/>
    <s v="B"/>
    <s v="D"/>
    <s v="B"/>
    <s v="24時間365日"/>
    <n v="1"/>
    <s v="タイヤ"/>
    <n v="1"/>
    <n v="0"/>
    <m/>
    <x v="5"/>
    <x v="1"/>
    <x v="44"/>
    <m/>
    <s v="「アプリ・HW適合性」要確認"/>
    <m/>
  </r>
  <r>
    <s v="ドメインコントローラー（IMH）"/>
    <s v="C"/>
    <s v="C"/>
    <s v="B"/>
    <s v="A"/>
    <s v="B"/>
    <s v="B"/>
    <s v="C"/>
    <s v="B"/>
    <s v="B"/>
    <s v="B"/>
    <s v="B"/>
    <s v="B"/>
    <s v="B"/>
    <s v="B"/>
    <s v="社内ユーザ"/>
    <s v="B"/>
    <s v="B"/>
    <s v="B"/>
    <s v="D"/>
    <s v="B"/>
    <s v="24時間365日"/>
    <n v="1"/>
    <s v="タイヤ"/>
    <n v="1"/>
    <n v="0"/>
    <m/>
    <x v="6"/>
    <x v="4"/>
    <x v="45"/>
    <m/>
    <s v="「アプリ・HW適合性」要確認"/>
    <m/>
  </r>
  <r>
    <s v="ネットワーク管理（IMH）"/>
    <s v="C"/>
    <s v="C"/>
    <s v="B"/>
    <s v="B"/>
    <s v="C"/>
    <s v="B"/>
    <s v="C"/>
    <s v="B"/>
    <s v="B"/>
    <s v="B"/>
    <s v="B"/>
    <s v="B"/>
    <s v="B"/>
    <s v="B"/>
    <s v="社内ユーザ"/>
    <s v="B"/>
    <s v="B"/>
    <s v="B"/>
    <s v="D"/>
    <s v="B"/>
    <s v="24時間365日"/>
    <n v="1"/>
    <s v="タイヤ"/>
    <n v="1"/>
    <n v="0"/>
    <m/>
    <x v="5"/>
    <x v="1"/>
    <x v="46"/>
    <m/>
    <s v="「アプリ・HW適合性」要確認"/>
    <m/>
  </r>
  <r>
    <s v="ファイルサーバ（IMH）"/>
    <s v="※StoreSimple"/>
    <s v="C"/>
    <s v="B"/>
    <s v="A"/>
    <s v="B"/>
    <s v="B"/>
    <s v="C"/>
    <s v="B"/>
    <s v="B"/>
    <s v="B"/>
    <s v="B"/>
    <s v="B"/>
    <s v="A"/>
    <s v="B"/>
    <s v="社内ユーザ"/>
    <s v="B"/>
    <s v="B"/>
    <s v="A"/>
    <s v="C"/>
    <s v="A"/>
    <s v="24時間365日"/>
    <n v="6"/>
    <s v="タイヤ"/>
    <n v="5"/>
    <n v="1"/>
    <m/>
    <x v="7"/>
    <x v="1"/>
    <x v="47"/>
    <m/>
    <m/>
    <m/>
  </r>
  <r>
    <s v="プリンタサーバ（IMH）"/>
    <s v="C"/>
    <s v="C"/>
    <s v="B"/>
    <s v="A"/>
    <s v="B"/>
    <s v="B"/>
    <s v="C"/>
    <s v="B"/>
    <s v="B"/>
    <s v="B"/>
    <s v="B"/>
    <s v="B"/>
    <s v="B"/>
    <s v="B"/>
    <s v="社内ユーザ"/>
    <s v="B"/>
    <s v="B"/>
    <s v="B"/>
    <s v="B"/>
    <s v="B"/>
    <s v="24時間365日"/>
    <n v="1"/>
    <s v="タイヤ"/>
    <n v="1"/>
    <n v="0"/>
    <m/>
    <x v="6"/>
    <x v="4"/>
    <x v="45"/>
    <m/>
    <s v="「アプリ・HW適合性」要確認"/>
    <m/>
  </r>
  <r>
    <s v="ライセンスサーバ（IMH）"/>
    <s v="A_x000a_ABAQUS"/>
    <s v="A_x000a_（動かせない）"/>
    <s v="B"/>
    <s v="B"/>
    <s v="B"/>
    <s v="B"/>
    <s v="C"/>
    <s v="B"/>
    <s v="B"/>
    <s v="B"/>
    <s v="B"/>
    <s v="B"/>
    <s v="B"/>
    <s v="B"/>
    <s v="社内ユーザ"/>
    <s v="B"/>
    <s v="B"/>
    <s v="B"/>
    <s v="D"/>
    <s v="B"/>
    <s v="24時間365日"/>
    <n v="10"/>
    <s v="タイヤ"/>
    <n v="9"/>
    <n v="1"/>
    <m/>
    <x v="6"/>
    <x v="4"/>
    <x v="48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ピボットテーブル1" cacheId="2" applyNumberFormats="0" applyBorderFormats="0" applyFontFormats="0" applyPatternFormats="0" applyAlignmentFormats="0" applyWidthHeightFormats="1" dataCaption="値" updatedVersion="6" minRefreshableVersion="3" useAutoFormatting="1" itemPrintTitles="1" createdVersion="6" indent="0" showHeaders="0" compact="0" compactData="0" gridDropZones="1" multipleFieldFilters="0">
  <location ref="A3:D20" firstHeaderRow="2" firstDataRow="2" firstDataCol="3"/>
  <pivotFields count="33"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>
      <items count="10">
        <item x="0"/>
        <item x="3"/>
        <item x="6"/>
        <item h="1" sd="0" m="1" x="8"/>
        <item h="1" sd="0" x="4"/>
        <item h="1" x="2"/>
        <item h="1" x="5"/>
        <item h="1" x="1"/>
        <item h="1" x="7"/>
        <item t="default"/>
      </items>
    </pivotField>
    <pivotField axis="axisRow" compact="0" outline="0" showAll="0" defaultSubtotal="0">
      <items count="11">
        <item x="3"/>
        <item sd="0" x="4"/>
        <item sd="0" x="5"/>
        <item sd="0" x="0"/>
        <item m="1" x="10"/>
        <item m="1" x="9"/>
        <item x="8"/>
        <item x="2"/>
        <item sd="0" x="6"/>
        <item sd="0" x="7"/>
        <item x="1"/>
      </items>
    </pivotField>
    <pivotField axis="axisRow" compact="0" outline="0" showAll="0" defaultSubtotal="0">
      <items count="57">
        <item x="14"/>
        <item x="0"/>
        <item m="1" x="55"/>
        <item x="36"/>
        <item x="43"/>
        <item x="11"/>
        <item x="4"/>
        <item m="1" x="52"/>
        <item m="1" x="56"/>
        <item m="1" x="50"/>
        <item x="5"/>
        <item x="2"/>
        <item x="3"/>
        <item x="6"/>
        <item x="7"/>
        <item x="8"/>
        <item x="9"/>
        <item m="1" x="49"/>
        <item x="12"/>
        <item x="13"/>
        <item m="1" x="51"/>
        <item x="15"/>
        <item x="16"/>
        <item x="17"/>
        <item x="18"/>
        <item x="19"/>
        <item x="20"/>
        <item x="22"/>
        <item x="23"/>
        <item x="24"/>
        <item x="25"/>
        <item x="26"/>
        <item x="28"/>
        <item x="29"/>
        <item x="30"/>
        <item m="1" x="54"/>
        <item x="33"/>
        <item x="34"/>
        <item x="35"/>
        <item x="37"/>
        <item x="38"/>
        <item m="1" x="53"/>
        <item x="39"/>
        <item x="41"/>
        <item x="42"/>
        <item x="21"/>
        <item x="44"/>
        <item x="45"/>
        <item x="46"/>
        <item x="47"/>
        <item x="1"/>
        <item x="10"/>
        <item x="27"/>
        <item x="31"/>
        <item x="32"/>
        <item x="40"/>
        <item x="48"/>
      </items>
    </pivotField>
    <pivotField compact="0" outline="0" showAll="0"/>
    <pivotField compact="0" outline="0" showAll="0"/>
    <pivotField compact="0" outline="0" showAll="0"/>
  </pivotFields>
  <rowFields count="3">
    <field x="27"/>
    <field x="28"/>
    <field x="29"/>
  </rowFields>
  <rowItems count="16">
    <i>
      <x/>
      <x v="3"/>
    </i>
    <i r="1">
      <x v="6"/>
      <x v="4"/>
    </i>
    <i r="1">
      <x v="9"/>
    </i>
    <i t="default">
      <x/>
    </i>
    <i>
      <x v="1"/>
      <x v="1"/>
    </i>
    <i r="1">
      <x v="2"/>
    </i>
    <i r="1">
      <x v="3"/>
    </i>
    <i r="1">
      <x v="7"/>
      <x v="6"/>
    </i>
    <i r="1">
      <x v="9"/>
    </i>
    <i r="1">
      <x v="10"/>
      <x v="21"/>
    </i>
    <i t="default">
      <x v="1"/>
    </i>
    <i>
      <x v="2"/>
      <x v="1"/>
    </i>
    <i r="1">
      <x v="7"/>
      <x v="34"/>
    </i>
    <i r="1">
      <x v="8"/>
    </i>
    <i t="default">
      <x v="2"/>
    </i>
    <i t="grand">
      <x/>
    </i>
  </rowItems>
  <colItems count="1">
    <i/>
  </colItems>
  <dataFields count="1">
    <dataField name="データの個数 / 仕訳対象システム" fld="0" subtotal="count" baseField="0" baseItem="0"/>
  </dataFields>
  <formats count="1">
    <format dxfId="0">
      <pivotArea dataOnly="0" outline="0" fieldPosition="0">
        <references count="1">
          <reference field="27" count="0" defaultSubtotal="1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0000"/>
  </sheetPr>
  <dimension ref="A3:K20"/>
  <sheetViews>
    <sheetView workbookViewId="0">
      <selection activeCell="A25" sqref="A25"/>
    </sheetView>
  </sheetViews>
  <sheetFormatPr defaultRowHeight="18" x14ac:dyDescent="0.45"/>
  <cols>
    <col min="1" max="1" width="30.09765625" customWidth="1"/>
    <col min="2" max="2" width="31.796875" bestFit="1" customWidth="1"/>
    <col min="3" max="3" width="162.5" bestFit="1" customWidth="1"/>
    <col min="4" max="4" width="5.5" customWidth="1"/>
    <col min="11" max="11" width="9" style="11"/>
  </cols>
  <sheetData>
    <row r="3" spans="1:11" x14ac:dyDescent="0.45">
      <c r="A3" s="2" t="s">
        <v>10</v>
      </c>
    </row>
    <row r="4" spans="1:11" x14ac:dyDescent="0.45">
      <c r="D4" t="s">
        <v>27</v>
      </c>
    </row>
    <row r="5" spans="1:11" x14ac:dyDescent="0.45">
      <c r="A5" t="s">
        <v>6</v>
      </c>
      <c r="B5" t="s">
        <v>22</v>
      </c>
      <c r="D5" s="1">
        <v>43</v>
      </c>
      <c r="G5" s="4" t="s">
        <v>6</v>
      </c>
      <c r="H5" s="4" t="s">
        <v>22</v>
      </c>
      <c r="I5" t="s">
        <v>26</v>
      </c>
      <c r="J5" s="1">
        <v>24</v>
      </c>
    </row>
    <row r="6" spans="1:11" x14ac:dyDescent="0.45">
      <c r="B6" t="s">
        <v>21</v>
      </c>
      <c r="C6" t="s">
        <v>19</v>
      </c>
      <c r="D6" s="1">
        <v>2</v>
      </c>
      <c r="G6" s="5"/>
      <c r="H6" s="4" t="s">
        <v>21</v>
      </c>
      <c r="I6" t="s">
        <v>19</v>
      </c>
      <c r="J6" s="1">
        <v>2</v>
      </c>
    </row>
    <row r="7" spans="1:11" x14ac:dyDescent="0.45">
      <c r="B7" t="s">
        <v>8</v>
      </c>
      <c r="D7" s="1">
        <v>1</v>
      </c>
      <c r="G7" s="9" t="s">
        <v>28</v>
      </c>
      <c r="H7" s="9"/>
      <c r="I7" s="9"/>
      <c r="J7" s="10">
        <v>26</v>
      </c>
      <c r="K7" s="11">
        <f>J7/$J$18</f>
        <v>0.29213483146067415</v>
      </c>
    </row>
    <row r="8" spans="1:11" x14ac:dyDescent="0.45">
      <c r="A8" s="7" t="s">
        <v>28</v>
      </c>
      <c r="B8" s="7"/>
      <c r="C8" s="7"/>
      <c r="D8" s="8">
        <v>46</v>
      </c>
      <c r="G8" s="4" t="s">
        <v>5</v>
      </c>
      <c r="H8" s="4" t="s">
        <v>16</v>
      </c>
      <c r="I8" t="s">
        <v>15</v>
      </c>
      <c r="J8" s="1">
        <v>18</v>
      </c>
    </row>
    <row r="9" spans="1:11" x14ac:dyDescent="0.45">
      <c r="A9" t="s">
        <v>5</v>
      </c>
      <c r="B9" t="s">
        <v>16</v>
      </c>
      <c r="D9" s="1">
        <v>9</v>
      </c>
      <c r="G9" s="4"/>
      <c r="H9" s="4" t="s">
        <v>23</v>
      </c>
      <c r="I9" t="s">
        <v>13</v>
      </c>
      <c r="J9" s="1">
        <v>17</v>
      </c>
    </row>
    <row r="10" spans="1:11" x14ac:dyDescent="0.45">
      <c r="B10" t="s">
        <v>23</v>
      </c>
      <c r="D10" s="1">
        <v>4</v>
      </c>
      <c r="G10" s="4"/>
      <c r="H10" s="4" t="s">
        <v>22</v>
      </c>
      <c r="I10" t="s">
        <v>1</v>
      </c>
      <c r="J10" s="1">
        <v>11</v>
      </c>
    </row>
    <row r="11" spans="1:11" x14ac:dyDescent="0.45">
      <c r="B11" t="s">
        <v>22</v>
      </c>
      <c r="D11" s="1">
        <v>2</v>
      </c>
      <c r="G11" s="4"/>
      <c r="H11" s="4" t="s">
        <v>25</v>
      </c>
      <c r="I11" t="s">
        <v>18</v>
      </c>
      <c r="J11" s="1">
        <v>5</v>
      </c>
    </row>
    <row r="12" spans="1:11" x14ac:dyDescent="0.45">
      <c r="B12" t="s">
        <v>2</v>
      </c>
      <c r="C12" t="s">
        <v>14</v>
      </c>
      <c r="D12" s="1">
        <v>2</v>
      </c>
      <c r="G12" s="4"/>
      <c r="H12" s="4" t="s">
        <v>24</v>
      </c>
      <c r="I12" t="s">
        <v>17</v>
      </c>
      <c r="J12" s="1">
        <v>2</v>
      </c>
    </row>
    <row r="13" spans="1:11" x14ac:dyDescent="0.45">
      <c r="B13" t="s">
        <v>8</v>
      </c>
      <c r="D13" s="1">
        <v>1</v>
      </c>
      <c r="G13" s="4"/>
      <c r="H13" s="4" t="s">
        <v>2</v>
      </c>
      <c r="I13" t="s">
        <v>14</v>
      </c>
      <c r="J13" s="1">
        <v>2</v>
      </c>
    </row>
    <row r="14" spans="1:11" x14ac:dyDescent="0.45">
      <c r="B14" t="s">
        <v>31</v>
      </c>
      <c r="C14" t="s">
        <v>32</v>
      </c>
      <c r="D14" s="1">
        <v>1</v>
      </c>
      <c r="G14" s="5"/>
      <c r="H14" s="4" t="s">
        <v>9</v>
      </c>
      <c r="I14" t="s">
        <v>20</v>
      </c>
      <c r="J14" s="1">
        <v>1</v>
      </c>
    </row>
    <row r="15" spans="1:11" x14ac:dyDescent="0.45">
      <c r="A15" s="7" t="s">
        <v>29</v>
      </c>
      <c r="B15" s="7"/>
      <c r="C15" s="7"/>
      <c r="D15" s="8">
        <v>19</v>
      </c>
      <c r="G15" s="9" t="s">
        <v>29</v>
      </c>
      <c r="H15" s="9"/>
      <c r="I15" s="9"/>
      <c r="J15" s="10">
        <v>56</v>
      </c>
      <c r="K15" s="11">
        <f>J15/$J$18</f>
        <v>0.6292134831460674</v>
      </c>
    </row>
    <row r="16" spans="1:11" x14ac:dyDescent="0.45">
      <c r="A16" t="s">
        <v>4</v>
      </c>
      <c r="B16" t="s">
        <v>16</v>
      </c>
      <c r="D16" s="1">
        <v>3</v>
      </c>
      <c r="G16" s="5" t="s">
        <v>4</v>
      </c>
      <c r="H16" s="4" t="s">
        <v>8</v>
      </c>
      <c r="I16" t="s">
        <v>12</v>
      </c>
      <c r="J16" s="1">
        <v>7</v>
      </c>
    </row>
    <row r="17" spans="1:11" x14ac:dyDescent="0.45">
      <c r="B17" t="s">
        <v>2</v>
      </c>
      <c r="C17" t="s">
        <v>33</v>
      </c>
      <c r="D17" s="1">
        <v>1</v>
      </c>
      <c r="G17" s="9" t="s">
        <v>30</v>
      </c>
      <c r="H17" s="9"/>
      <c r="I17" s="9"/>
      <c r="J17" s="10">
        <v>7</v>
      </c>
      <c r="K17" s="11">
        <f>J17/$J$18</f>
        <v>7.8651685393258425E-2</v>
      </c>
    </row>
    <row r="18" spans="1:11" x14ac:dyDescent="0.45">
      <c r="B18" t="s">
        <v>9</v>
      </c>
      <c r="D18" s="1">
        <v>5</v>
      </c>
      <c r="G18" s="6" t="s">
        <v>11</v>
      </c>
      <c r="H18" s="6"/>
      <c r="I18" s="6"/>
      <c r="J18" s="3">
        <v>89</v>
      </c>
    </row>
    <row r="19" spans="1:11" x14ac:dyDescent="0.45">
      <c r="A19" s="7" t="s">
        <v>30</v>
      </c>
      <c r="B19" s="7"/>
      <c r="C19" s="7"/>
      <c r="D19" s="8">
        <v>9</v>
      </c>
    </row>
    <row r="20" spans="1:11" x14ac:dyDescent="0.45">
      <c r="A20" t="s">
        <v>11</v>
      </c>
      <c r="D20" s="1">
        <v>74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2:AK49"/>
  <sheetViews>
    <sheetView zoomScale="70" zoomScaleNormal="70" workbookViewId="0"/>
  </sheetViews>
  <sheetFormatPr defaultColWidth="8.69921875" defaultRowHeight="17.399999999999999" x14ac:dyDescent="0.45"/>
  <cols>
    <col min="1" max="1" width="8.69921875" style="22"/>
    <col min="2" max="2" width="5.3984375" style="22" customWidth="1"/>
    <col min="3" max="3" width="18.09765625" style="22" customWidth="1"/>
    <col min="4" max="5" width="8.5" style="22" customWidth="1"/>
    <col min="6" max="8" width="9.296875" style="22" customWidth="1"/>
    <col min="9" max="10" width="15.19921875" style="22" customWidth="1"/>
    <col min="11" max="11" width="17.19921875" style="22" customWidth="1"/>
    <col min="12" max="16" width="12.796875" style="22" customWidth="1"/>
    <col min="17" max="17" width="12.8984375" style="22" customWidth="1"/>
    <col min="18" max="19" width="11.19921875" style="22" customWidth="1"/>
    <col min="20" max="22" width="17.3984375" style="22" customWidth="1"/>
    <col min="23" max="29" width="6.796875" style="22" customWidth="1"/>
    <col min="30" max="30" width="8.69921875" style="22"/>
    <col min="31" max="37" width="14.59765625" style="22" customWidth="1"/>
    <col min="38" max="16384" width="8.69921875" style="22"/>
  </cols>
  <sheetData>
    <row r="2" spans="2:37" ht="19.2" x14ac:dyDescent="0.45">
      <c r="B2" s="21" t="s">
        <v>55</v>
      </c>
    </row>
    <row r="4" spans="2:37" s="23" customFormat="1" ht="18" customHeight="1" x14ac:dyDescent="0.45">
      <c r="B4" s="83" t="s">
        <v>36</v>
      </c>
      <c r="C4" s="83" t="s">
        <v>37</v>
      </c>
      <c r="D4" s="84" t="s">
        <v>76</v>
      </c>
      <c r="E4" s="84"/>
      <c r="F4" s="84"/>
      <c r="G4" s="90" t="s">
        <v>56</v>
      </c>
      <c r="H4" s="91"/>
      <c r="I4" s="84" t="s">
        <v>44</v>
      </c>
      <c r="J4" s="84"/>
      <c r="K4" s="84"/>
      <c r="L4" s="84" t="s">
        <v>43</v>
      </c>
      <c r="M4" s="84"/>
      <c r="N4" s="84"/>
      <c r="O4" s="84"/>
      <c r="P4" s="84"/>
      <c r="Q4" s="88" t="s">
        <v>73</v>
      </c>
      <c r="R4" s="85" t="s">
        <v>91</v>
      </c>
      <c r="S4" s="86"/>
      <c r="T4" s="86"/>
      <c r="U4" s="86"/>
      <c r="V4" s="86"/>
      <c r="W4" s="86"/>
      <c r="X4" s="86"/>
      <c r="Y4" s="86"/>
      <c r="Z4" s="86"/>
      <c r="AA4" s="86"/>
      <c r="AB4" s="86"/>
      <c r="AC4" s="87"/>
      <c r="AE4" s="83" t="s">
        <v>70</v>
      </c>
      <c r="AF4" s="83"/>
      <c r="AG4" s="83"/>
      <c r="AH4" s="83"/>
      <c r="AI4" s="83"/>
      <c r="AJ4" s="83"/>
      <c r="AK4" s="83"/>
    </row>
    <row r="5" spans="2:37" s="23" customFormat="1" ht="53.4" customHeight="1" x14ac:dyDescent="0.45">
      <c r="B5" s="83"/>
      <c r="C5" s="83"/>
      <c r="D5" s="24" t="s">
        <v>77</v>
      </c>
      <c r="E5" s="25" t="s">
        <v>78</v>
      </c>
      <c r="F5" s="24" t="s">
        <v>79</v>
      </c>
      <c r="G5" s="24" t="s">
        <v>57</v>
      </c>
      <c r="H5" s="24" t="s">
        <v>58</v>
      </c>
      <c r="I5" s="25" t="s">
        <v>92</v>
      </c>
      <c r="J5" s="25" t="s">
        <v>46</v>
      </c>
      <c r="K5" s="25" t="s">
        <v>75</v>
      </c>
      <c r="L5" s="24" t="s">
        <v>50</v>
      </c>
      <c r="M5" s="64" t="s">
        <v>255</v>
      </c>
      <c r="N5" s="24" t="s">
        <v>49</v>
      </c>
      <c r="O5" s="25" t="s">
        <v>93</v>
      </c>
      <c r="P5" s="24" t="s">
        <v>45</v>
      </c>
      <c r="Q5" s="89"/>
      <c r="R5" s="25" t="s">
        <v>62</v>
      </c>
      <c r="S5" s="25" t="s">
        <v>63</v>
      </c>
      <c r="T5" s="25" t="s">
        <v>74</v>
      </c>
      <c r="U5" s="25" t="s">
        <v>83</v>
      </c>
      <c r="V5" s="25" t="s">
        <v>89</v>
      </c>
      <c r="W5" s="24">
        <v>2019</v>
      </c>
      <c r="X5" s="24">
        <v>2020</v>
      </c>
      <c r="Y5" s="24">
        <v>2021</v>
      </c>
      <c r="Z5" s="24">
        <v>2022</v>
      </c>
      <c r="AA5" s="24">
        <v>2023</v>
      </c>
      <c r="AB5" s="24">
        <v>2024</v>
      </c>
      <c r="AC5" s="24">
        <v>2025</v>
      </c>
      <c r="AE5" s="24">
        <v>2019</v>
      </c>
      <c r="AF5" s="24">
        <v>2020</v>
      </c>
      <c r="AG5" s="24">
        <v>2021</v>
      </c>
      <c r="AH5" s="24">
        <v>2022</v>
      </c>
      <c r="AI5" s="24">
        <v>2023</v>
      </c>
      <c r="AJ5" s="24">
        <v>2024</v>
      </c>
      <c r="AK5" s="24">
        <v>2025</v>
      </c>
    </row>
    <row r="6" spans="2:37" s="23" customFormat="1" ht="16.2" x14ac:dyDescent="0.45">
      <c r="B6" s="26">
        <v>1</v>
      </c>
      <c r="C6" s="26" t="s">
        <v>38</v>
      </c>
      <c r="D6" s="24" t="s">
        <v>7</v>
      </c>
      <c r="E6" s="26" t="s">
        <v>80</v>
      </c>
      <c r="F6" s="24" t="s">
        <v>35</v>
      </c>
      <c r="G6" s="24" t="s">
        <v>60</v>
      </c>
      <c r="H6" s="24" t="s">
        <v>59</v>
      </c>
      <c r="I6" s="14">
        <v>0</v>
      </c>
      <c r="J6" s="14">
        <v>0</v>
      </c>
      <c r="K6" s="14">
        <v>2300000</v>
      </c>
      <c r="L6" s="14">
        <v>500000</v>
      </c>
      <c r="M6" s="14"/>
      <c r="N6" s="14">
        <v>250000</v>
      </c>
      <c r="O6" s="14">
        <v>0</v>
      </c>
      <c r="P6" s="14">
        <v>0</v>
      </c>
      <c r="Q6" s="14">
        <f t="shared" ref="Q6:Q11" si="0">SUM(L6:P6)</f>
        <v>750000</v>
      </c>
      <c r="R6" s="14" t="s">
        <v>64</v>
      </c>
      <c r="S6" s="27">
        <v>44013</v>
      </c>
      <c r="T6" s="14" t="s">
        <v>41</v>
      </c>
      <c r="U6" s="14" t="s">
        <v>84</v>
      </c>
      <c r="V6" s="14" t="s">
        <v>90</v>
      </c>
      <c r="W6" s="24"/>
      <c r="X6" s="24" t="s">
        <v>40</v>
      </c>
      <c r="Y6" s="24" t="s">
        <v>71</v>
      </c>
      <c r="Z6" s="24" t="s">
        <v>72</v>
      </c>
      <c r="AA6" s="24" t="s">
        <v>71</v>
      </c>
      <c r="AB6" s="24" t="s">
        <v>71</v>
      </c>
      <c r="AC6" s="24" t="s">
        <v>71</v>
      </c>
      <c r="AE6" s="28">
        <f t="shared" ref="AE6:AK6" si="1">IF(W6="〇",SUM($I6:$K6)+SUM($L6:$P6),IF(W6="=",SUM($L6:$P6),0))</f>
        <v>0</v>
      </c>
      <c r="AF6" s="28">
        <f t="shared" si="1"/>
        <v>3050000</v>
      </c>
      <c r="AG6" s="28">
        <f t="shared" si="1"/>
        <v>750000</v>
      </c>
      <c r="AH6" s="28">
        <f t="shared" si="1"/>
        <v>750000</v>
      </c>
      <c r="AI6" s="28">
        <f t="shared" si="1"/>
        <v>750000</v>
      </c>
      <c r="AJ6" s="28">
        <f t="shared" si="1"/>
        <v>750000</v>
      </c>
      <c r="AK6" s="28">
        <f t="shared" si="1"/>
        <v>750000</v>
      </c>
    </row>
    <row r="7" spans="2:37" s="23" customFormat="1" ht="16.2" x14ac:dyDescent="0.45">
      <c r="B7" s="26">
        <v>2</v>
      </c>
      <c r="C7" s="26" t="s">
        <v>41</v>
      </c>
      <c r="D7" s="24" t="s">
        <v>0</v>
      </c>
      <c r="E7" s="26" t="s">
        <v>80</v>
      </c>
      <c r="F7" s="24"/>
      <c r="G7" s="24" t="s">
        <v>61</v>
      </c>
      <c r="H7" s="24" t="s">
        <v>61</v>
      </c>
      <c r="I7" s="14">
        <v>564000</v>
      </c>
      <c r="J7" s="14">
        <v>0</v>
      </c>
      <c r="K7" s="14">
        <v>500000</v>
      </c>
      <c r="L7" s="14">
        <v>250000</v>
      </c>
      <c r="M7" s="14"/>
      <c r="N7" s="14">
        <v>98000</v>
      </c>
      <c r="O7" s="14">
        <v>178000</v>
      </c>
      <c r="P7" s="14">
        <v>54000</v>
      </c>
      <c r="Q7" s="14">
        <f t="shared" si="0"/>
        <v>580000</v>
      </c>
      <c r="R7" s="14"/>
      <c r="S7" s="27"/>
      <c r="T7" s="14" t="s">
        <v>38</v>
      </c>
      <c r="U7" s="14" t="s">
        <v>85</v>
      </c>
      <c r="V7" s="14"/>
      <c r="W7" s="24"/>
      <c r="X7" s="24"/>
      <c r="Y7" s="24" t="s">
        <v>35</v>
      </c>
      <c r="Z7" s="24" t="s">
        <v>71</v>
      </c>
      <c r="AA7" s="24" t="s">
        <v>71</v>
      </c>
      <c r="AB7" s="24" t="s">
        <v>71</v>
      </c>
      <c r="AC7" s="24" t="s">
        <v>71</v>
      </c>
      <c r="AE7" s="28">
        <f t="shared" ref="AE7:AE11" si="2">IF(W7="〇",SUM($I7:$K7)+SUM($L7:$P7),IF(W7="=",SUM($L7:$P7),0))</f>
        <v>0</v>
      </c>
      <c r="AF7" s="28">
        <f t="shared" ref="AF7:AF11" si="3">IF(X7="〇",SUM($I7:$K7)+SUM($L7:$P7),IF(X7="=",SUM($L7:$P7),0))</f>
        <v>0</v>
      </c>
      <c r="AG7" s="28">
        <f t="shared" ref="AG7:AG11" si="4">IF(Y7="〇",SUM($I7:$K7)+SUM($L7:$P7),IF(Y7="=",SUM($L7:$P7),0))</f>
        <v>1644000</v>
      </c>
      <c r="AH7" s="28">
        <f t="shared" ref="AH7:AH11" si="5">IF(Z7="〇",SUM($I7:$K7)+SUM($L7:$P7),IF(Z7="=",SUM($L7:$P7),0))</f>
        <v>580000</v>
      </c>
      <c r="AI7" s="28">
        <f t="shared" ref="AI7:AI11" si="6">IF(AA7="〇",SUM($I7:$K7)+SUM($L7:$P7),IF(AA7="=",SUM($L7:$P7),0))</f>
        <v>580000</v>
      </c>
      <c r="AJ7" s="28">
        <f t="shared" ref="AJ7:AJ11" si="7">IF(AB7="〇",SUM($I7:$K7)+SUM($L7:$P7),IF(AB7="=",SUM($L7:$P7),0))</f>
        <v>580000</v>
      </c>
      <c r="AK7" s="28">
        <f t="shared" ref="AK7:AK11" si="8">IF(AC7="〇",SUM($I7:$K7)+SUM($L7:$P7),IF(AC7="=",SUM($L7:$P7),0))</f>
        <v>580000</v>
      </c>
    </row>
    <row r="8" spans="2:37" s="23" customFormat="1" ht="16.2" x14ac:dyDescent="0.45">
      <c r="B8" s="26">
        <v>3</v>
      </c>
      <c r="C8" s="26" t="s">
        <v>39</v>
      </c>
      <c r="D8" s="24" t="s">
        <v>7</v>
      </c>
      <c r="E8" s="26" t="s">
        <v>81</v>
      </c>
      <c r="F8" s="24" t="s">
        <v>35</v>
      </c>
      <c r="G8" s="24" t="s">
        <v>60</v>
      </c>
      <c r="H8" s="24" t="s">
        <v>60</v>
      </c>
      <c r="I8" s="14">
        <v>0</v>
      </c>
      <c r="J8" s="14">
        <v>450000</v>
      </c>
      <c r="K8" s="14">
        <v>1500000</v>
      </c>
      <c r="L8" s="14">
        <v>400000</v>
      </c>
      <c r="M8" s="14"/>
      <c r="N8" s="14">
        <v>120000</v>
      </c>
      <c r="O8" s="14">
        <v>0</v>
      </c>
      <c r="P8" s="14">
        <v>120000</v>
      </c>
      <c r="Q8" s="14">
        <f t="shared" si="0"/>
        <v>640000</v>
      </c>
      <c r="R8" s="14" t="s">
        <v>65</v>
      </c>
      <c r="S8" s="27">
        <v>44835</v>
      </c>
      <c r="T8" s="14" t="s">
        <v>3</v>
      </c>
      <c r="U8" s="14"/>
      <c r="V8" s="14"/>
      <c r="W8" s="24"/>
      <c r="X8" s="24"/>
      <c r="Y8" s="24"/>
      <c r="Z8" s="24" t="s">
        <v>35</v>
      </c>
      <c r="AA8" s="24" t="s">
        <v>71</v>
      </c>
      <c r="AB8" s="24" t="s">
        <v>71</v>
      </c>
      <c r="AC8" s="24" t="s">
        <v>71</v>
      </c>
      <c r="AE8" s="28">
        <f t="shared" si="2"/>
        <v>0</v>
      </c>
      <c r="AF8" s="28">
        <f t="shared" si="3"/>
        <v>0</v>
      </c>
      <c r="AG8" s="28">
        <f t="shared" si="4"/>
        <v>0</v>
      </c>
      <c r="AH8" s="28">
        <f t="shared" si="5"/>
        <v>2590000</v>
      </c>
      <c r="AI8" s="28">
        <f t="shared" si="6"/>
        <v>640000</v>
      </c>
      <c r="AJ8" s="28">
        <f t="shared" si="7"/>
        <v>640000</v>
      </c>
      <c r="AK8" s="28">
        <f t="shared" si="8"/>
        <v>640000</v>
      </c>
    </row>
    <row r="9" spans="2:37" s="23" customFormat="1" ht="16.2" x14ac:dyDescent="0.45">
      <c r="B9" s="26">
        <v>4</v>
      </c>
      <c r="C9" s="26" t="s">
        <v>67</v>
      </c>
      <c r="D9" s="24" t="s">
        <v>34</v>
      </c>
      <c r="E9" s="26" t="s">
        <v>81</v>
      </c>
      <c r="F9" s="24" t="s">
        <v>35</v>
      </c>
      <c r="G9" s="24" t="s">
        <v>60</v>
      </c>
      <c r="H9" s="24" t="s">
        <v>60</v>
      </c>
      <c r="I9" s="14">
        <v>0</v>
      </c>
      <c r="J9" s="14">
        <v>550000</v>
      </c>
      <c r="K9" s="14">
        <v>2500000</v>
      </c>
      <c r="L9" s="14">
        <v>234000</v>
      </c>
      <c r="M9" s="14"/>
      <c r="N9" s="14">
        <v>100000</v>
      </c>
      <c r="O9" s="14">
        <v>0</v>
      </c>
      <c r="P9" s="14">
        <v>120000</v>
      </c>
      <c r="Q9" s="14">
        <f t="shared" si="0"/>
        <v>454000</v>
      </c>
      <c r="R9" s="14" t="s">
        <v>66</v>
      </c>
      <c r="S9" s="27">
        <v>45017</v>
      </c>
      <c r="T9" s="14" t="s">
        <v>3</v>
      </c>
      <c r="U9" s="14"/>
      <c r="V9" s="14"/>
      <c r="W9" s="24"/>
      <c r="X9" s="24"/>
      <c r="Y9" s="24"/>
      <c r="Z9" s="24"/>
      <c r="AA9" s="24" t="s">
        <v>35</v>
      </c>
      <c r="AB9" s="24" t="s">
        <v>71</v>
      </c>
      <c r="AC9" s="24" t="s">
        <v>71</v>
      </c>
      <c r="AE9" s="28">
        <f t="shared" si="2"/>
        <v>0</v>
      </c>
      <c r="AF9" s="28">
        <f t="shared" si="3"/>
        <v>0</v>
      </c>
      <c r="AG9" s="28">
        <f t="shared" si="4"/>
        <v>0</v>
      </c>
      <c r="AH9" s="28">
        <f t="shared" si="5"/>
        <v>0</v>
      </c>
      <c r="AI9" s="28">
        <f t="shared" si="6"/>
        <v>3504000</v>
      </c>
      <c r="AJ9" s="28">
        <f t="shared" si="7"/>
        <v>454000</v>
      </c>
      <c r="AK9" s="28">
        <f t="shared" si="8"/>
        <v>454000</v>
      </c>
    </row>
    <row r="10" spans="2:37" s="23" customFormat="1" ht="16.2" x14ac:dyDescent="0.45">
      <c r="B10" s="26">
        <v>5</v>
      </c>
      <c r="C10" s="26" t="s">
        <v>68</v>
      </c>
      <c r="D10" s="24" t="s">
        <v>34</v>
      </c>
      <c r="E10" s="26" t="s">
        <v>80</v>
      </c>
      <c r="F10" s="24" t="s">
        <v>35</v>
      </c>
      <c r="G10" s="24" t="s">
        <v>60</v>
      </c>
      <c r="H10" s="24" t="s">
        <v>61</v>
      </c>
      <c r="I10" s="14">
        <v>0</v>
      </c>
      <c r="J10" s="14">
        <v>0</v>
      </c>
      <c r="K10" s="14">
        <v>2000000</v>
      </c>
      <c r="L10" s="14">
        <v>300000</v>
      </c>
      <c r="M10" s="14"/>
      <c r="N10" s="14">
        <v>110000</v>
      </c>
      <c r="O10" s="14">
        <v>0</v>
      </c>
      <c r="P10" s="14">
        <v>89000</v>
      </c>
      <c r="Q10" s="14">
        <f t="shared" si="0"/>
        <v>499000</v>
      </c>
      <c r="R10" s="14"/>
      <c r="S10" s="27"/>
      <c r="T10" s="14" t="s">
        <v>67</v>
      </c>
      <c r="U10" s="14" t="s">
        <v>84</v>
      </c>
      <c r="V10" s="14"/>
      <c r="W10" s="24"/>
      <c r="X10" s="24"/>
      <c r="Y10" s="24"/>
      <c r="Z10" s="24"/>
      <c r="AA10" s="24" t="s">
        <v>35</v>
      </c>
      <c r="AB10" s="24" t="s">
        <v>71</v>
      </c>
      <c r="AC10" s="24" t="s">
        <v>71</v>
      </c>
      <c r="AE10" s="28">
        <f t="shared" si="2"/>
        <v>0</v>
      </c>
      <c r="AF10" s="28">
        <f t="shared" si="3"/>
        <v>0</v>
      </c>
      <c r="AG10" s="28">
        <f t="shared" si="4"/>
        <v>0</v>
      </c>
      <c r="AH10" s="28">
        <f t="shared" si="5"/>
        <v>0</v>
      </c>
      <c r="AI10" s="28">
        <f t="shared" si="6"/>
        <v>2499000</v>
      </c>
      <c r="AJ10" s="28">
        <f t="shared" si="7"/>
        <v>499000</v>
      </c>
      <c r="AK10" s="28">
        <f t="shared" si="8"/>
        <v>499000</v>
      </c>
    </row>
    <row r="11" spans="2:37" s="23" customFormat="1" ht="16.2" x14ac:dyDescent="0.45">
      <c r="B11" s="26">
        <v>6</v>
      </c>
      <c r="C11" s="26" t="s">
        <v>69</v>
      </c>
      <c r="D11" s="24" t="s">
        <v>34</v>
      </c>
      <c r="E11" s="26" t="s">
        <v>82</v>
      </c>
      <c r="F11" s="24" t="s">
        <v>35</v>
      </c>
      <c r="G11" s="24" t="s">
        <v>60</v>
      </c>
      <c r="H11" s="24" t="s">
        <v>61</v>
      </c>
      <c r="I11" s="14">
        <v>0</v>
      </c>
      <c r="J11" s="14">
        <v>0</v>
      </c>
      <c r="K11" s="14">
        <v>2500000</v>
      </c>
      <c r="L11" s="14">
        <v>400000</v>
      </c>
      <c r="M11" s="14"/>
      <c r="N11" s="14">
        <v>230000</v>
      </c>
      <c r="O11" s="14">
        <v>0</v>
      </c>
      <c r="P11" s="14">
        <v>89000</v>
      </c>
      <c r="Q11" s="14">
        <f t="shared" si="0"/>
        <v>719000</v>
      </c>
      <c r="R11" s="14"/>
      <c r="S11" s="27"/>
      <c r="T11" s="14" t="s">
        <v>3</v>
      </c>
      <c r="U11" s="14"/>
      <c r="V11" s="14"/>
      <c r="W11" s="24"/>
      <c r="X11" s="24"/>
      <c r="Y11" s="24"/>
      <c r="Z11" s="24"/>
      <c r="AA11" s="24"/>
      <c r="AB11" s="24"/>
      <c r="AC11" s="24" t="s">
        <v>35</v>
      </c>
      <c r="AE11" s="28">
        <f t="shared" si="2"/>
        <v>0</v>
      </c>
      <c r="AF11" s="28">
        <f t="shared" si="3"/>
        <v>0</v>
      </c>
      <c r="AG11" s="28">
        <f t="shared" si="4"/>
        <v>0</v>
      </c>
      <c r="AH11" s="28">
        <f t="shared" si="5"/>
        <v>0</v>
      </c>
      <c r="AI11" s="28">
        <f t="shared" si="6"/>
        <v>0</v>
      </c>
      <c r="AJ11" s="28">
        <f t="shared" si="7"/>
        <v>0</v>
      </c>
      <c r="AK11" s="28">
        <f t="shared" si="8"/>
        <v>3219000</v>
      </c>
    </row>
    <row r="13" spans="2:37" x14ac:dyDescent="0.45">
      <c r="B13" s="71" t="s">
        <v>221</v>
      </c>
    </row>
    <row r="14" spans="2:37" x14ac:dyDescent="0.45">
      <c r="B14" s="71" t="s">
        <v>222</v>
      </c>
    </row>
    <row r="15" spans="2:37" x14ac:dyDescent="0.45">
      <c r="B15" s="71" t="s">
        <v>223</v>
      </c>
    </row>
    <row r="16" spans="2:37" x14ac:dyDescent="0.45">
      <c r="B16" s="71"/>
    </row>
    <row r="17" spans="2:37" x14ac:dyDescent="0.45">
      <c r="B17" s="71" t="s">
        <v>167</v>
      </c>
    </row>
    <row r="18" spans="2:37" x14ac:dyDescent="0.45">
      <c r="B18" s="22" t="s">
        <v>168</v>
      </c>
    </row>
    <row r="19" spans="2:37" x14ac:dyDescent="0.45">
      <c r="B19" s="46" t="s">
        <v>224</v>
      </c>
    </row>
    <row r="20" spans="2:37" x14ac:dyDescent="0.45">
      <c r="B20" s="46"/>
      <c r="C20" s="46" t="s">
        <v>225</v>
      </c>
    </row>
    <row r="21" spans="2:37" x14ac:dyDescent="0.45">
      <c r="B21" s="46"/>
      <c r="C21" s="46" t="s">
        <v>226</v>
      </c>
    </row>
    <row r="22" spans="2:37" x14ac:dyDescent="0.45">
      <c r="B22" s="72" t="s">
        <v>227</v>
      </c>
    </row>
    <row r="23" spans="2:37" x14ac:dyDescent="0.45">
      <c r="C23" s="46" t="s">
        <v>228</v>
      </c>
    </row>
    <row r="24" spans="2:37" x14ac:dyDescent="0.45">
      <c r="C24" s="46" t="s">
        <v>225</v>
      </c>
    </row>
    <row r="25" spans="2:37" x14ac:dyDescent="0.45">
      <c r="C25" s="46" t="s">
        <v>226</v>
      </c>
    </row>
    <row r="29" spans="2:37" x14ac:dyDescent="0.45">
      <c r="B29" s="22" t="s">
        <v>169</v>
      </c>
    </row>
    <row r="31" spans="2:37" x14ac:dyDescent="0.45">
      <c r="B31" s="83" t="s">
        <v>36</v>
      </c>
      <c r="C31" s="83" t="s">
        <v>37</v>
      </c>
      <c r="D31" s="84" t="s">
        <v>76</v>
      </c>
      <c r="E31" s="84"/>
      <c r="F31" s="84"/>
      <c r="G31" s="90" t="s">
        <v>56</v>
      </c>
      <c r="H31" s="91"/>
      <c r="I31" s="84" t="s">
        <v>44</v>
      </c>
      <c r="J31" s="84"/>
      <c r="K31" s="84"/>
      <c r="L31" s="84" t="s">
        <v>43</v>
      </c>
      <c r="M31" s="84"/>
      <c r="N31" s="84"/>
      <c r="O31" s="84"/>
      <c r="P31" s="84"/>
      <c r="Q31" s="88" t="s">
        <v>73</v>
      </c>
      <c r="R31" s="85" t="s">
        <v>91</v>
      </c>
      <c r="S31" s="86"/>
      <c r="T31" s="86"/>
      <c r="U31" s="86"/>
      <c r="V31" s="86"/>
      <c r="W31" s="86"/>
      <c r="X31" s="86"/>
      <c r="Y31" s="86"/>
      <c r="Z31" s="86"/>
      <c r="AA31" s="86"/>
      <c r="AB31" s="86"/>
      <c r="AC31" s="87"/>
      <c r="AD31" s="23"/>
      <c r="AE31" s="83" t="s">
        <v>70</v>
      </c>
      <c r="AF31" s="83"/>
      <c r="AG31" s="83"/>
      <c r="AH31" s="83"/>
      <c r="AI31" s="83"/>
      <c r="AJ31" s="83"/>
      <c r="AK31" s="83"/>
    </row>
    <row r="32" spans="2:37" ht="48.6" x14ac:dyDescent="0.45">
      <c r="B32" s="83"/>
      <c r="C32" s="83"/>
      <c r="D32" s="44" t="s">
        <v>77</v>
      </c>
      <c r="E32" s="45" t="s">
        <v>78</v>
      </c>
      <c r="F32" s="44" t="s">
        <v>217</v>
      </c>
      <c r="G32" s="44" t="s">
        <v>57</v>
      </c>
      <c r="H32" s="44" t="s">
        <v>58</v>
      </c>
      <c r="I32" s="45" t="s">
        <v>92</v>
      </c>
      <c r="J32" s="45" t="s">
        <v>46</v>
      </c>
      <c r="K32" s="45" t="s">
        <v>75</v>
      </c>
      <c r="L32" s="44" t="s">
        <v>50</v>
      </c>
      <c r="M32" s="64" t="s">
        <v>255</v>
      </c>
      <c r="N32" s="44" t="s">
        <v>49</v>
      </c>
      <c r="O32" s="45" t="s">
        <v>93</v>
      </c>
      <c r="P32" s="44" t="s">
        <v>45</v>
      </c>
      <c r="Q32" s="89"/>
      <c r="R32" s="45" t="s">
        <v>218</v>
      </c>
      <c r="S32" s="45" t="s">
        <v>63</v>
      </c>
      <c r="T32" s="45" t="s">
        <v>74</v>
      </c>
      <c r="U32" s="45" t="s">
        <v>83</v>
      </c>
      <c r="V32" s="45" t="s">
        <v>89</v>
      </c>
      <c r="W32" s="44">
        <v>2019</v>
      </c>
      <c r="X32" s="44">
        <v>2020</v>
      </c>
      <c r="Y32" s="44">
        <v>2021</v>
      </c>
      <c r="Z32" s="44">
        <v>2022</v>
      </c>
      <c r="AA32" s="44">
        <v>2023</v>
      </c>
      <c r="AB32" s="44">
        <v>2024</v>
      </c>
      <c r="AC32" s="44">
        <v>2025</v>
      </c>
      <c r="AD32" s="23"/>
      <c r="AE32" s="44">
        <v>2019</v>
      </c>
      <c r="AF32" s="44">
        <v>2020</v>
      </c>
      <c r="AG32" s="44">
        <v>2021</v>
      </c>
      <c r="AH32" s="44">
        <v>2022</v>
      </c>
      <c r="AI32" s="44">
        <v>2023</v>
      </c>
      <c r="AJ32" s="44">
        <v>2024</v>
      </c>
      <c r="AK32" s="44">
        <v>2025</v>
      </c>
    </row>
    <row r="33" spans="2:37" x14ac:dyDescent="0.45">
      <c r="B33" s="26">
        <v>1</v>
      </c>
      <c r="C33" s="26" t="s">
        <v>38</v>
      </c>
      <c r="D33" s="44" t="s">
        <v>7</v>
      </c>
      <c r="E33" s="26" t="s">
        <v>80</v>
      </c>
      <c r="F33" s="44" t="s">
        <v>35</v>
      </c>
      <c r="G33" s="44" t="s">
        <v>60</v>
      </c>
      <c r="H33" s="44" t="s">
        <v>59</v>
      </c>
      <c r="I33" s="14">
        <v>0</v>
      </c>
      <c r="J33" s="14">
        <v>0</v>
      </c>
      <c r="K33" s="14">
        <v>2300000</v>
      </c>
      <c r="L33" s="14">
        <v>500000</v>
      </c>
      <c r="M33" s="14"/>
      <c r="N33" s="14">
        <v>250000</v>
      </c>
      <c r="O33" s="14">
        <v>0</v>
      </c>
      <c r="P33" s="14">
        <v>0</v>
      </c>
      <c r="Q33" s="14">
        <f t="shared" ref="Q33:Q38" si="9">SUM(L33:P33)</f>
        <v>750000</v>
      </c>
      <c r="R33" s="14" t="s">
        <v>64</v>
      </c>
      <c r="S33" s="27">
        <v>44013</v>
      </c>
      <c r="T33" s="14" t="s">
        <v>219</v>
      </c>
      <c r="U33" s="14" t="s">
        <v>84</v>
      </c>
      <c r="V33" s="14" t="s">
        <v>90</v>
      </c>
      <c r="W33" s="44"/>
      <c r="X33" s="44" t="s">
        <v>35</v>
      </c>
      <c r="Y33" s="44" t="s">
        <v>71</v>
      </c>
      <c r="Z33" s="44" t="s">
        <v>71</v>
      </c>
      <c r="AA33" s="44" t="s">
        <v>71</v>
      </c>
      <c r="AB33" s="44" t="s">
        <v>71</v>
      </c>
      <c r="AC33" s="44" t="s">
        <v>71</v>
      </c>
      <c r="AD33" s="23"/>
      <c r="AE33" s="28">
        <f>IF(W33="〇",SUM($I33:$K33)+SUM($L33:$P33),IF(W33="=",SUM($L33:$P33),0))</f>
        <v>0</v>
      </c>
      <c r="AF33" s="28">
        <f t="shared" ref="AF33" si="10">IF(X33="〇",SUM($I33:$K33)+SUM($L33:$P33),IF(X33="=",SUM($L33:$P33),0))</f>
        <v>3050000</v>
      </c>
      <c r="AG33" s="28">
        <f t="shared" ref="AG33" si="11">IF(Y33="〇",SUM($I33:$K33)+SUM($L33:$P33),IF(Y33="=",SUM($L33:$P33),0))</f>
        <v>750000</v>
      </c>
      <c r="AH33" s="28">
        <f t="shared" ref="AH33" si="12">IF(Z33="〇",SUM($I33:$K33)+SUM($L33:$P33),IF(Z33="=",SUM($L33:$P33),0))</f>
        <v>750000</v>
      </c>
      <c r="AI33" s="28">
        <f t="shared" ref="AI33" si="13">IF(AA33="〇",SUM($I33:$K33)+SUM($L33:$P33),IF(AA33="=",SUM($L33:$P33),0))</f>
        <v>750000</v>
      </c>
      <c r="AJ33" s="28">
        <f t="shared" ref="AJ33" si="14">IF(AB33="〇",SUM($I33:$K33)+SUM($L33:$P33),IF(AB33="=",SUM($L33:$P33),0))</f>
        <v>750000</v>
      </c>
      <c r="AK33" s="28">
        <f t="shared" ref="AK33" si="15">IF(AC33="〇",SUM($I33:$K33)+SUM($L33:$P33),IF(AC33="=",SUM($L33:$P33),0))</f>
        <v>750000</v>
      </c>
    </row>
    <row r="34" spans="2:37" x14ac:dyDescent="0.45">
      <c r="B34" s="26">
        <v>2</v>
      </c>
      <c r="C34" s="52" t="s">
        <v>175</v>
      </c>
      <c r="D34" s="44" t="s">
        <v>0</v>
      </c>
      <c r="E34" s="53" t="s">
        <v>176</v>
      </c>
      <c r="F34" s="54" t="s">
        <v>177</v>
      </c>
      <c r="G34" s="55" t="s">
        <v>178</v>
      </c>
      <c r="H34" s="55" t="s">
        <v>179</v>
      </c>
      <c r="I34" s="53" t="s">
        <v>180</v>
      </c>
      <c r="J34" s="53" t="s">
        <v>181</v>
      </c>
      <c r="K34" s="53" t="s">
        <v>182</v>
      </c>
      <c r="L34" s="53" t="s">
        <v>183</v>
      </c>
      <c r="M34" s="53"/>
      <c r="N34" s="53" t="s">
        <v>184</v>
      </c>
      <c r="O34" s="53" t="s">
        <v>185</v>
      </c>
      <c r="P34" s="53" t="s">
        <v>186</v>
      </c>
      <c r="Q34" s="14">
        <f t="shared" si="9"/>
        <v>0</v>
      </c>
      <c r="R34" s="56" t="s">
        <v>187</v>
      </c>
      <c r="S34" s="56" t="s">
        <v>188</v>
      </c>
      <c r="T34" s="56" t="s">
        <v>189</v>
      </c>
      <c r="U34" s="54" t="s">
        <v>190</v>
      </c>
      <c r="V34" s="54" t="s">
        <v>191</v>
      </c>
      <c r="W34" s="44"/>
      <c r="X34" s="44"/>
      <c r="Y34" s="56" t="s">
        <v>188</v>
      </c>
      <c r="Z34" s="44" t="s">
        <v>71</v>
      </c>
      <c r="AA34" s="44" t="s">
        <v>71</v>
      </c>
      <c r="AB34" s="44" t="s">
        <v>71</v>
      </c>
      <c r="AC34" s="44" t="s">
        <v>71</v>
      </c>
      <c r="AD34" s="23"/>
      <c r="AE34" s="28">
        <f t="shared" ref="AE34:AE38" si="16">IF(W34="〇",SUM($I34:$K34)+SUM($L34:$P34),IF(W34="=",SUM($L34:$P34),0))</f>
        <v>0</v>
      </c>
      <c r="AF34" s="28">
        <f t="shared" ref="AF34:AF38" si="17">IF(X34="〇",SUM($I34:$K34)+SUM($L34:$P34),IF(X34="=",SUM($L34:$P34),0))</f>
        <v>0</v>
      </c>
      <c r="AG34" s="28">
        <f t="shared" ref="AG34:AG38" si="18">IF(Y34="〇",SUM($I34:$K34)+SUM($L34:$P34),IF(Y34="=",SUM($L34:$P34),0))</f>
        <v>0</v>
      </c>
      <c r="AH34" s="28">
        <f t="shared" ref="AH34:AH38" si="19">IF(Z34="〇",SUM($I34:$K34)+SUM($L34:$P34),IF(Z34="=",SUM($L34:$P34),0))</f>
        <v>0</v>
      </c>
      <c r="AI34" s="28">
        <f t="shared" ref="AI34:AI38" si="20">IF(AA34="〇",SUM($I34:$K34)+SUM($L34:$P34),IF(AA34="=",SUM($L34:$P34),0))</f>
        <v>0</v>
      </c>
      <c r="AJ34" s="28">
        <f t="shared" ref="AJ34:AJ38" si="21">IF(AB34="〇",SUM($I34:$K34)+SUM($L34:$P34),IF(AB34="=",SUM($L34:$P34),0))</f>
        <v>0</v>
      </c>
      <c r="AK34" s="28">
        <f t="shared" ref="AK34:AK38" si="22">IF(AC34="〇",SUM($I34:$K34)+SUM($L34:$P34),IF(AC34="=",SUM($L34:$P34),0))</f>
        <v>0</v>
      </c>
    </row>
    <row r="35" spans="2:37" x14ac:dyDescent="0.45">
      <c r="B35" s="26">
        <v>3</v>
      </c>
      <c r="C35" s="26" t="s">
        <v>39</v>
      </c>
      <c r="D35" s="44" t="s">
        <v>7</v>
      </c>
      <c r="E35" s="26" t="s">
        <v>81</v>
      </c>
      <c r="F35" s="44" t="s">
        <v>35</v>
      </c>
      <c r="G35" s="44" t="s">
        <v>60</v>
      </c>
      <c r="H35" s="44" t="s">
        <v>60</v>
      </c>
      <c r="I35" s="14">
        <v>0</v>
      </c>
      <c r="J35" s="14">
        <v>450000</v>
      </c>
      <c r="K35" s="14">
        <v>1500000</v>
      </c>
      <c r="L35" s="14">
        <v>400000</v>
      </c>
      <c r="M35" s="14"/>
      <c r="N35" s="14">
        <v>120000</v>
      </c>
      <c r="O35" s="14">
        <v>0</v>
      </c>
      <c r="P35" s="14">
        <v>120000</v>
      </c>
      <c r="Q35" s="14">
        <f t="shared" si="9"/>
        <v>640000</v>
      </c>
      <c r="R35" s="14" t="s">
        <v>65</v>
      </c>
      <c r="S35" s="27">
        <v>44835</v>
      </c>
      <c r="T35" s="14" t="s">
        <v>3</v>
      </c>
      <c r="U35" s="14"/>
      <c r="V35" s="14"/>
      <c r="W35" s="44"/>
      <c r="X35" s="44"/>
      <c r="Y35" s="44"/>
      <c r="Z35" s="44" t="s">
        <v>35</v>
      </c>
      <c r="AA35" s="44" t="s">
        <v>71</v>
      </c>
      <c r="AB35" s="44" t="s">
        <v>71</v>
      </c>
      <c r="AC35" s="44" t="s">
        <v>71</v>
      </c>
      <c r="AD35" s="23"/>
      <c r="AE35" s="28">
        <f t="shared" si="16"/>
        <v>0</v>
      </c>
      <c r="AF35" s="28">
        <f t="shared" si="17"/>
        <v>0</v>
      </c>
      <c r="AG35" s="28">
        <f t="shared" si="18"/>
        <v>0</v>
      </c>
      <c r="AH35" s="28">
        <f t="shared" si="19"/>
        <v>2590000</v>
      </c>
      <c r="AI35" s="28">
        <f t="shared" si="20"/>
        <v>640000</v>
      </c>
      <c r="AJ35" s="28">
        <f t="shared" si="21"/>
        <v>640000</v>
      </c>
      <c r="AK35" s="28">
        <f t="shared" si="22"/>
        <v>640000</v>
      </c>
    </row>
    <row r="36" spans="2:37" x14ac:dyDescent="0.45">
      <c r="B36" s="26">
        <v>4</v>
      </c>
      <c r="C36" s="26" t="s">
        <v>67</v>
      </c>
      <c r="D36" s="44" t="s">
        <v>34</v>
      </c>
      <c r="E36" s="26" t="s">
        <v>81</v>
      </c>
      <c r="F36" s="44" t="s">
        <v>35</v>
      </c>
      <c r="G36" s="44" t="s">
        <v>60</v>
      </c>
      <c r="H36" s="44" t="s">
        <v>60</v>
      </c>
      <c r="I36" s="14">
        <v>0</v>
      </c>
      <c r="J36" s="14">
        <v>550000</v>
      </c>
      <c r="K36" s="14">
        <v>2500000</v>
      </c>
      <c r="L36" s="14">
        <v>234000</v>
      </c>
      <c r="M36" s="14"/>
      <c r="N36" s="14">
        <v>100000</v>
      </c>
      <c r="O36" s="14">
        <v>0</v>
      </c>
      <c r="P36" s="14">
        <v>120000</v>
      </c>
      <c r="Q36" s="14">
        <f t="shared" si="9"/>
        <v>454000</v>
      </c>
      <c r="R36" s="14" t="s">
        <v>65</v>
      </c>
      <c r="S36" s="27">
        <v>45017</v>
      </c>
      <c r="T36" s="14" t="s">
        <v>3</v>
      </c>
      <c r="U36" s="14"/>
      <c r="V36" s="14"/>
      <c r="W36" s="44"/>
      <c r="X36" s="44"/>
      <c r="Y36" s="44"/>
      <c r="Z36" s="44"/>
      <c r="AA36" s="44" t="s">
        <v>35</v>
      </c>
      <c r="AB36" s="44" t="s">
        <v>71</v>
      </c>
      <c r="AC36" s="44" t="s">
        <v>71</v>
      </c>
      <c r="AD36" s="23"/>
      <c r="AE36" s="28">
        <f t="shared" si="16"/>
        <v>0</v>
      </c>
      <c r="AF36" s="28">
        <f t="shared" si="17"/>
        <v>0</v>
      </c>
      <c r="AG36" s="28">
        <f t="shared" si="18"/>
        <v>0</v>
      </c>
      <c r="AH36" s="28">
        <f t="shared" si="19"/>
        <v>0</v>
      </c>
      <c r="AI36" s="28">
        <f t="shared" si="20"/>
        <v>3504000</v>
      </c>
      <c r="AJ36" s="28">
        <f t="shared" si="21"/>
        <v>454000</v>
      </c>
      <c r="AK36" s="28">
        <f t="shared" si="22"/>
        <v>454000</v>
      </c>
    </row>
    <row r="37" spans="2:37" x14ac:dyDescent="0.45">
      <c r="B37" s="26">
        <v>5</v>
      </c>
      <c r="C37" s="26" t="s">
        <v>68</v>
      </c>
      <c r="D37" s="44" t="s">
        <v>34</v>
      </c>
      <c r="E37" s="26" t="s">
        <v>80</v>
      </c>
      <c r="F37" s="44" t="s">
        <v>35</v>
      </c>
      <c r="G37" s="44" t="s">
        <v>60</v>
      </c>
      <c r="H37" s="44" t="s">
        <v>61</v>
      </c>
      <c r="I37" s="14">
        <v>0</v>
      </c>
      <c r="J37" s="14">
        <v>0</v>
      </c>
      <c r="K37" s="14">
        <v>2000000</v>
      </c>
      <c r="L37" s="14">
        <v>300000</v>
      </c>
      <c r="M37" s="14"/>
      <c r="N37" s="14">
        <v>110000</v>
      </c>
      <c r="O37" s="14">
        <v>0</v>
      </c>
      <c r="P37" s="14">
        <v>89000</v>
      </c>
      <c r="Q37" s="14">
        <f t="shared" si="9"/>
        <v>499000</v>
      </c>
      <c r="R37" s="14"/>
      <c r="S37" s="27"/>
      <c r="T37" s="14" t="s">
        <v>67</v>
      </c>
      <c r="U37" s="14" t="s">
        <v>84</v>
      </c>
      <c r="V37" s="14"/>
      <c r="W37" s="44"/>
      <c r="X37" s="44"/>
      <c r="Y37" s="44"/>
      <c r="Z37" s="44"/>
      <c r="AA37" s="44" t="s">
        <v>35</v>
      </c>
      <c r="AB37" s="44" t="s">
        <v>71</v>
      </c>
      <c r="AC37" s="44" t="s">
        <v>71</v>
      </c>
      <c r="AD37" s="23"/>
      <c r="AE37" s="28">
        <f t="shared" si="16"/>
        <v>0</v>
      </c>
      <c r="AF37" s="28">
        <f t="shared" si="17"/>
        <v>0</v>
      </c>
      <c r="AG37" s="28">
        <f t="shared" si="18"/>
        <v>0</v>
      </c>
      <c r="AH37" s="28">
        <f t="shared" si="19"/>
        <v>0</v>
      </c>
      <c r="AI37" s="28">
        <f t="shared" si="20"/>
        <v>2499000</v>
      </c>
      <c r="AJ37" s="28">
        <f t="shared" si="21"/>
        <v>499000</v>
      </c>
      <c r="AK37" s="28">
        <f t="shared" si="22"/>
        <v>499000</v>
      </c>
    </row>
    <row r="38" spans="2:37" x14ac:dyDescent="0.45">
      <c r="B38" s="26">
        <v>6</v>
      </c>
      <c r="C38" s="26" t="s">
        <v>69</v>
      </c>
      <c r="D38" s="44" t="s">
        <v>34</v>
      </c>
      <c r="E38" s="26" t="s">
        <v>82</v>
      </c>
      <c r="F38" s="44" t="s">
        <v>35</v>
      </c>
      <c r="G38" s="44" t="s">
        <v>60</v>
      </c>
      <c r="H38" s="44" t="s">
        <v>61</v>
      </c>
      <c r="I38" s="14">
        <v>0</v>
      </c>
      <c r="J38" s="14">
        <v>0</v>
      </c>
      <c r="K38" s="14">
        <v>2500000</v>
      </c>
      <c r="L38" s="14">
        <v>400000</v>
      </c>
      <c r="M38" s="14"/>
      <c r="N38" s="14">
        <v>230000</v>
      </c>
      <c r="O38" s="14">
        <v>0</v>
      </c>
      <c r="P38" s="14">
        <v>89000</v>
      </c>
      <c r="Q38" s="14">
        <f t="shared" si="9"/>
        <v>719000</v>
      </c>
      <c r="R38" s="14"/>
      <c r="S38" s="27"/>
      <c r="T38" s="14" t="s">
        <v>3</v>
      </c>
      <c r="U38" s="14"/>
      <c r="V38" s="14"/>
      <c r="W38" s="44"/>
      <c r="X38" s="44"/>
      <c r="Y38" s="44"/>
      <c r="Z38" s="44"/>
      <c r="AA38" s="44"/>
      <c r="AB38" s="44"/>
      <c r="AC38" s="44" t="s">
        <v>35</v>
      </c>
      <c r="AD38" s="23"/>
      <c r="AE38" s="28">
        <f t="shared" si="16"/>
        <v>0</v>
      </c>
      <c r="AF38" s="28">
        <f t="shared" si="17"/>
        <v>0</v>
      </c>
      <c r="AG38" s="28">
        <f t="shared" si="18"/>
        <v>0</v>
      </c>
      <c r="AH38" s="28">
        <f t="shared" si="19"/>
        <v>0</v>
      </c>
      <c r="AI38" s="28">
        <f t="shared" si="20"/>
        <v>0</v>
      </c>
      <c r="AJ38" s="28">
        <f t="shared" si="21"/>
        <v>0</v>
      </c>
      <c r="AK38" s="28">
        <f t="shared" si="22"/>
        <v>3219000</v>
      </c>
    </row>
    <row r="40" spans="2:37" x14ac:dyDescent="0.45">
      <c r="B40" s="22" t="s">
        <v>192</v>
      </c>
    </row>
    <row r="41" spans="2:37" x14ac:dyDescent="0.45">
      <c r="C41" s="51" t="s">
        <v>175</v>
      </c>
    </row>
    <row r="42" spans="2:37" x14ac:dyDescent="0.45">
      <c r="C42" s="22" t="s">
        <v>170</v>
      </c>
    </row>
    <row r="43" spans="2:37" x14ac:dyDescent="0.45">
      <c r="C43" s="49" t="s">
        <v>171</v>
      </c>
    </row>
    <row r="44" spans="2:37" x14ac:dyDescent="0.45">
      <c r="C44" s="48" t="s">
        <v>172</v>
      </c>
    </row>
    <row r="45" spans="2:37" x14ac:dyDescent="0.45">
      <c r="C45" s="47" t="s">
        <v>173</v>
      </c>
    </row>
    <row r="46" spans="2:37" x14ac:dyDescent="0.45">
      <c r="C46" s="50" t="s">
        <v>174</v>
      </c>
    </row>
    <row r="49" spans="2:2" x14ac:dyDescent="0.45">
      <c r="B49" s="22" t="s">
        <v>193</v>
      </c>
    </row>
  </sheetData>
  <mergeCells count="18">
    <mergeCell ref="L31:P31"/>
    <mergeCell ref="Q31:Q32"/>
    <mergeCell ref="R31:AC31"/>
    <mergeCell ref="AE31:AK31"/>
    <mergeCell ref="B31:B32"/>
    <mergeCell ref="C31:C32"/>
    <mergeCell ref="D31:F31"/>
    <mergeCell ref="G31:H31"/>
    <mergeCell ref="I31:K31"/>
    <mergeCell ref="AE4:AK4"/>
    <mergeCell ref="D4:F4"/>
    <mergeCell ref="C4:C5"/>
    <mergeCell ref="R4:AC4"/>
    <mergeCell ref="B4:B5"/>
    <mergeCell ref="L4:P4"/>
    <mergeCell ref="I4:K4"/>
    <mergeCell ref="Q4:Q5"/>
    <mergeCell ref="G4:H4"/>
  </mergeCells>
  <phoneticPr fontId="2"/>
  <pageMargins left="0.7" right="0.7" top="0.75" bottom="0.75" header="0.3" footer="0.3"/>
  <pageSetup paperSize="8" scale="58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9" tint="0.39997558519241921"/>
  </sheetPr>
  <dimension ref="B6:AL1000"/>
  <sheetViews>
    <sheetView tabSelected="1" zoomScale="85" zoomScaleNormal="85" workbookViewId="0"/>
  </sheetViews>
  <sheetFormatPr defaultColWidth="8.69921875" defaultRowHeight="17.399999999999999" x14ac:dyDescent="0.45"/>
  <cols>
    <col min="1" max="1" width="8.69921875" style="22"/>
    <col min="2" max="2" width="5.3984375" style="22" customWidth="1"/>
    <col min="3" max="3" width="18.09765625" style="22" customWidth="1"/>
    <col min="4" max="5" width="8.5" style="22" customWidth="1"/>
    <col min="6" max="6" width="10.69921875" style="22" bestFit="1" customWidth="1"/>
    <col min="7" max="9" width="9.296875" style="22" customWidth="1"/>
    <col min="10" max="11" width="15.19921875" style="22" customWidth="1"/>
    <col min="12" max="12" width="17.19921875" style="22" customWidth="1"/>
    <col min="13" max="13" width="11.5" style="22" bestFit="1" customWidth="1"/>
    <col min="14" max="14" width="12.796875" style="22" customWidth="1"/>
    <col min="15" max="15" width="11.5" style="22" bestFit="1" customWidth="1"/>
    <col min="16" max="17" width="12.796875" style="22" customWidth="1"/>
    <col min="18" max="18" width="12.8984375" style="22" customWidth="1"/>
    <col min="19" max="20" width="11.19921875" style="22" customWidth="1"/>
    <col min="21" max="23" width="17.3984375" style="22" customWidth="1"/>
    <col min="24" max="30" width="6.796875" style="22" customWidth="1"/>
    <col min="31" max="31" width="8.69921875" style="22"/>
    <col min="32" max="38" width="14.59765625" style="22" customWidth="1"/>
    <col min="39" max="16384" width="8.69921875" style="22"/>
  </cols>
  <sheetData>
    <row r="6" spans="2:38" ht="19.2" x14ac:dyDescent="0.45">
      <c r="B6" s="21" t="s">
        <v>55</v>
      </c>
    </row>
    <row r="8" spans="2:38" s="23" customFormat="1" ht="18" customHeight="1" x14ac:dyDescent="0.45">
      <c r="B8" s="98" t="s">
        <v>36</v>
      </c>
      <c r="C8" s="98" t="s">
        <v>37</v>
      </c>
      <c r="D8" s="99" t="s">
        <v>76</v>
      </c>
      <c r="E8" s="99"/>
      <c r="F8" s="99"/>
      <c r="G8" s="99"/>
      <c r="H8" s="100" t="s">
        <v>56</v>
      </c>
      <c r="I8" s="101"/>
      <c r="J8" s="99" t="s">
        <v>44</v>
      </c>
      <c r="K8" s="99"/>
      <c r="L8" s="99"/>
      <c r="M8" s="99" t="s">
        <v>43</v>
      </c>
      <c r="N8" s="99"/>
      <c r="O8" s="99"/>
      <c r="P8" s="99"/>
      <c r="Q8" s="99"/>
      <c r="R8" s="92" t="s">
        <v>73</v>
      </c>
      <c r="S8" s="94" t="s">
        <v>91</v>
      </c>
      <c r="T8" s="95"/>
      <c r="U8" s="95"/>
      <c r="V8" s="95"/>
      <c r="W8" s="95"/>
      <c r="X8" s="95"/>
      <c r="Y8" s="95"/>
      <c r="Z8" s="95"/>
      <c r="AA8" s="95"/>
      <c r="AB8" s="95"/>
      <c r="AC8" s="95"/>
      <c r="AD8" s="96"/>
      <c r="AF8" s="97" t="s">
        <v>70</v>
      </c>
      <c r="AG8" s="97"/>
      <c r="AH8" s="97"/>
      <c r="AI8" s="97"/>
      <c r="AJ8" s="97"/>
      <c r="AK8" s="97"/>
      <c r="AL8" s="97"/>
    </row>
    <row r="9" spans="2:38" s="23" customFormat="1" ht="53.4" customHeight="1" x14ac:dyDescent="0.45">
      <c r="B9" s="98"/>
      <c r="C9" s="98"/>
      <c r="D9" s="82" t="s">
        <v>77</v>
      </c>
      <c r="E9" s="82" t="s">
        <v>267</v>
      </c>
      <c r="F9" s="67" t="s">
        <v>78</v>
      </c>
      <c r="G9" s="66" t="s">
        <v>79</v>
      </c>
      <c r="H9" s="66" t="s">
        <v>57</v>
      </c>
      <c r="I9" s="66" t="s">
        <v>58</v>
      </c>
      <c r="J9" s="67" t="s">
        <v>92</v>
      </c>
      <c r="K9" s="67" t="s">
        <v>46</v>
      </c>
      <c r="L9" s="67" t="s">
        <v>75</v>
      </c>
      <c r="M9" s="66" t="s">
        <v>50</v>
      </c>
      <c r="N9" s="76" t="s">
        <v>257</v>
      </c>
      <c r="O9" s="66" t="s">
        <v>49</v>
      </c>
      <c r="P9" s="67" t="s">
        <v>93</v>
      </c>
      <c r="Q9" s="66" t="s">
        <v>45</v>
      </c>
      <c r="R9" s="93"/>
      <c r="S9" s="67" t="s">
        <v>62</v>
      </c>
      <c r="T9" s="119" t="s">
        <v>63</v>
      </c>
      <c r="U9" s="67" t="s">
        <v>74</v>
      </c>
      <c r="V9" s="67" t="s">
        <v>83</v>
      </c>
      <c r="W9" s="67" t="s">
        <v>89</v>
      </c>
      <c r="X9" s="66">
        <v>2019</v>
      </c>
      <c r="Y9" s="66">
        <v>2020</v>
      </c>
      <c r="Z9" s="66">
        <v>2021</v>
      </c>
      <c r="AA9" s="66">
        <v>2022</v>
      </c>
      <c r="AB9" s="66">
        <v>2023</v>
      </c>
      <c r="AC9" s="66">
        <v>2024</v>
      </c>
      <c r="AD9" s="66">
        <v>2025</v>
      </c>
      <c r="AF9" s="68">
        <v>2019</v>
      </c>
      <c r="AG9" s="68">
        <v>2020</v>
      </c>
      <c r="AH9" s="68">
        <v>2021</v>
      </c>
      <c r="AI9" s="68">
        <v>2022</v>
      </c>
      <c r="AJ9" s="68">
        <v>2023</v>
      </c>
      <c r="AK9" s="68">
        <v>2024</v>
      </c>
      <c r="AL9" s="68">
        <v>2025</v>
      </c>
    </row>
    <row r="10" spans="2:38" s="23" customFormat="1" ht="16.2" hidden="1" x14ac:dyDescent="0.45">
      <c r="B10" s="26">
        <v>1</v>
      </c>
      <c r="C10" s="26"/>
      <c r="D10" s="57"/>
      <c r="E10" s="80"/>
      <c r="F10" s="26"/>
      <c r="G10" s="57"/>
      <c r="H10" s="57"/>
      <c r="I10" s="57"/>
      <c r="J10" s="14"/>
      <c r="K10" s="14"/>
      <c r="L10" s="14"/>
      <c r="M10" s="14"/>
      <c r="N10" s="14"/>
      <c r="O10" s="14"/>
      <c r="P10" s="14"/>
      <c r="Q10" s="14"/>
      <c r="R10" s="14">
        <f t="shared" ref="R10" si="0">SUM(M10:Q10)</f>
        <v>0</v>
      </c>
      <c r="S10" s="14"/>
      <c r="T10" s="69"/>
      <c r="U10" s="14"/>
      <c r="V10" s="14"/>
      <c r="W10" s="14"/>
      <c r="X10" s="57" t="str">
        <f>IF(LEFT(T10, 4)="2019","〇","")</f>
        <v/>
      </c>
      <c r="Y10" s="63" t="str">
        <f>IF(X10="〇","=",IF(X10="=","=",IF(LEFT(T10, 4)="2020","〇","")))</f>
        <v/>
      </c>
      <c r="Z10" s="63" t="str">
        <f>IF(Y10="〇","=",IF(Y10="=","=",IF(LEFT(T10, 4)="2021","〇","")))</f>
        <v/>
      </c>
      <c r="AA10" s="63" t="str">
        <f>IF(Z10="〇","=",IF(Z10="=","=",IF(LEFT(T10, 4)="2022","〇","")))</f>
        <v/>
      </c>
      <c r="AB10" s="63" t="str">
        <f>IF(AA10="〇","=",IF(AA10="=","=",IF(LEFT(T10, 4)="2023","〇","")))</f>
        <v/>
      </c>
      <c r="AC10" s="63" t="str">
        <f>IF(AB10="〇","=",IF(AB10="=","=",IF(LEFT(T10, 4)="2024","〇","")))</f>
        <v/>
      </c>
      <c r="AD10" s="63" t="str">
        <f>IF(AC10="〇","=",IF(AC10="=","=","〇"))</f>
        <v>〇</v>
      </c>
      <c r="AF10" s="28">
        <f t="shared" ref="AF10:AL10" si="1">IF(X10="〇",SUM($J10:$L10)+SUM($M10:$Q10),IF(X10="=",SUM($M10:$Q10),0))</f>
        <v>0</v>
      </c>
      <c r="AG10" s="28">
        <f t="shared" si="1"/>
        <v>0</v>
      </c>
      <c r="AH10" s="28">
        <f t="shared" si="1"/>
        <v>0</v>
      </c>
      <c r="AI10" s="28">
        <f t="shared" si="1"/>
        <v>0</v>
      </c>
      <c r="AJ10" s="28">
        <f t="shared" si="1"/>
        <v>0</v>
      </c>
      <c r="AK10" s="28">
        <f t="shared" si="1"/>
        <v>0</v>
      </c>
      <c r="AL10" s="28">
        <f t="shared" si="1"/>
        <v>0</v>
      </c>
    </row>
    <row r="11" spans="2:38" x14ac:dyDescent="0.45">
      <c r="B11" s="26">
        <v>1</v>
      </c>
      <c r="C11" s="26" t="s">
        <v>220</v>
      </c>
      <c r="D11" s="81" t="s">
        <v>268</v>
      </c>
      <c r="E11" s="81">
        <v>1</v>
      </c>
      <c r="F11" s="26" t="s">
        <v>269</v>
      </c>
      <c r="G11" s="81" t="s">
        <v>270</v>
      </c>
      <c r="H11" s="81" t="s">
        <v>271</v>
      </c>
      <c r="I11" s="81" t="s">
        <v>272</v>
      </c>
      <c r="J11" s="14">
        <v>16000</v>
      </c>
      <c r="K11" s="14">
        <v>18000</v>
      </c>
      <c r="L11" s="14">
        <v>12000</v>
      </c>
      <c r="M11" s="14">
        <v>3222154.0559999999</v>
      </c>
      <c r="N11" s="14">
        <v>0</v>
      </c>
      <c r="O11" s="14">
        <v>1476936</v>
      </c>
      <c r="P11" s="14">
        <v>17000</v>
      </c>
      <c r="Q11" s="14">
        <v>19000</v>
      </c>
      <c r="R11" s="14">
        <f t="shared" ref="R11" si="2">SUM(M11:Q11)</f>
        <v>4735090.0559999999</v>
      </c>
      <c r="S11" s="14" t="s">
        <v>273</v>
      </c>
      <c r="T11" s="69" t="s">
        <v>274</v>
      </c>
      <c r="U11" s="14" t="s">
        <v>275</v>
      </c>
      <c r="V11" s="14" t="s">
        <v>276</v>
      </c>
      <c r="W11" s="14" t="s">
        <v>277</v>
      </c>
      <c r="X11" s="81" t="str">
        <f>IF(LEFT(T11, 4)="2019","〇","")</f>
        <v/>
      </c>
      <c r="Y11" s="81" t="str">
        <f>IF(X11="〇","=",IF(X11="=","=",IF(LEFT(T11, 4)="2020","〇","")))</f>
        <v>〇</v>
      </c>
      <c r="Z11" s="81" t="str">
        <f>IF(Y11="〇","=",IF(Y11="=","=",IF(LEFT(T11, 4)="2021","〇","")))</f>
        <v>=</v>
      </c>
      <c r="AA11" s="81" t="str">
        <f>IF(Z11="〇","=",IF(Z11="=","=",IF(LEFT(T11, 4)="2022","〇","")))</f>
        <v>=</v>
      </c>
      <c r="AB11" s="81" t="str">
        <f>IF(AA11="〇","=",IF(AA11="=","=",IF(LEFT(T11, 4)="2023","〇","")))</f>
        <v>=</v>
      </c>
      <c r="AC11" s="81" t="str">
        <f>IF(AB11="〇","=",IF(AB11="=","=",IF(LEFT(T11, 4)="2024","〇","")))</f>
        <v>=</v>
      </c>
      <c r="AD11" s="81" t="str">
        <f>IF(AC11="〇","=",IF(AC11="=","=","〇"))</f>
        <v>=</v>
      </c>
      <c r="AE11" s="23"/>
      <c r="AF11" s="28">
        <f t="shared" ref="AF11" si="3">IF(X11="〇",SUM($J11:$L11)+SUM($M11:$Q11),IF(X11="=",SUM($M11:$Q11),0))</f>
        <v>0</v>
      </c>
      <c r="AG11" s="28">
        <f t="shared" ref="AG11" si="4">IF(Y11="〇",SUM($J11:$L11)+SUM($M11:$Q11),IF(Y11="=",SUM($M11:$Q11),0))</f>
        <v>4781090.0559999999</v>
      </c>
      <c r="AH11" s="28">
        <f t="shared" ref="AH11" si="5">IF(Z11="〇",SUM($J11:$L11)+SUM($M11:$Q11),IF(Z11="=",SUM($M11:$Q11),0))</f>
        <v>4735090.0559999999</v>
      </c>
      <c r="AI11" s="28">
        <f t="shared" ref="AI11" si="6">IF(AA11="〇",SUM($J11:$L11)+SUM($M11:$Q11),IF(AA11="=",SUM($M11:$Q11),0))</f>
        <v>4735090.0559999999</v>
      </c>
      <c r="AJ11" s="28">
        <f t="shared" ref="AJ11" si="7">IF(AB11="〇",SUM($J11:$L11)+SUM($M11:$Q11),IF(AB11="=",SUM($M11:$Q11),0))</f>
        <v>4735090.0559999999</v>
      </c>
      <c r="AK11" s="28">
        <f t="shared" ref="AK11" si="8">IF(AC11="〇",SUM($J11:$L11)+SUM($M11:$Q11),IF(AC11="=",SUM($M11:$Q11),0))</f>
        <v>4735090.0559999999</v>
      </c>
      <c r="AL11" s="28">
        <f t="shared" ref="AL11" si="9">IF(AD11="〇",SUM($J11:$L11)+SUM($M11:$Q11),IF(AD11="=",SUM($M11:$Q11),0))</f>
        <v>4735090.0559999999</v>
      </c>
    </row>
    <row r="12" spans="2:38" ht="18" x14ac:dyDescent="0.45"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2:38" ht="18" x14ac:dyDescent="0.45"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2:38" ht="18" x14ac:dyDescent="0.45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2:38" ht="18" x14ac:dyDescent="0.45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2:38" ht="18" x14ac:dyDescent="0.45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2:38" ht="18" x14ac:dyDescent="0.45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2:38" ht="18" x14ac:dyDescent="0.45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2:38" ht="18" x14ac:dyDescent="0.45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2:38" ht="18" x14ac:dyDescent="0.45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2:38" ht="18" x14ac:dyDescent="0.4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2:38" ht="18" x14ac:dyDescent="0.45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2:38" ht="18" x14ac:dyDescent="0.45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2:38" ht="18" x14ac:dyDescent="0.4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2:38" ht="18" x14ac:dyDescent="0.4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2:38" ht="18" x14ac:dyDescent="0.4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2:38" ht="18" x14ac:dyDescent="0.4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2:38" ht="18" x14ac:dyDescent="0.4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2:38" ht="18" x14ac:dyDescent="0.4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2:38" ht="18" x14ac:dyDescent="0.4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2:38" ht="18" x14ac:dyDescent="0.4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2:38" ht="18" x14ac:dyDescent="0.4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8" x14ac:dyDescent="0.4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8" x14ac:dyDescent="0.4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8" x14ac:dyDescent="0.4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8" x14ac:dyDescent="0.45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</row>
    <row r="37" spans="2:38" ht="18" x14ac:dyDescent="0.45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</row>
    <row r="38" spans="2:38" ht="18" x14ac:dyDescent="0.4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8" x14ac:dyDescent="0.4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</row>
    <row r="40" spans="2:38" ht="18" x14ac:dyDescent="0.4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</row>
    <row r="41" spans="2:38" ht="18" x14ac:dyDescent="0.4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</row>
    <row r="42" spans="2:38" ht="18" x14ac:dyDescent="0.4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</row>
    <row r="43" spans="2:38" ht="18" x14ac:dyDescent="0.4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</row>
    <row r="44" spans="2:38" ht="18" x14ac:dyDescent="0.4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</row>
    <row r="45" spans="2:38" ht="18" x14ac:dyDescent="0.4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</row>
    <row r="46" spans="2:38" ht="18" x14ac:dyDescent="0.45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</row>
    <row r="47" spans="2:38" ht="18" x14ac:dyDescent="0.45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</row>
    <row r="48" spans="2:38" ht="18" x14ac:dyDescent="0.45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</row>
    <row r="49" spans="2:38" ht="18" x14ac:dyDescent="0.45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</row>
    <row r="50" spans="2:38" ht="18" x14ac:dyDescent="0.45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</row>
    <row r="51" spans="2:38" ht="18" x14ac:dyDescent="0.45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</row>
    <row r="52" spans="2:38" ht="18" x14ac:dyDescent="0.4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8" x14ac:dyDescent="0.4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8" x14ac:dyDescent="0.4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8" x14ac:dyDescent="0.4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8" x14ac:dyDescent="0.4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8" x14ac:dyDescent="0.4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8" x14ac:dyDescent="0.4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8" x14ac:dyDescent="0.4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8" x14ac:dyDescent="0.4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8" x14ac:dyDescent="0.4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8" x14ac:dyDescent="0.4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8" x14ac:dyDescent="0.4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8" x14ac:dyDescent="0.4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8" x14ac:dyDescent="0.4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8" x14ac:dyDescent="0.4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8" x14ac:dyDescent="0.4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8" x14ac:dyDescent="0.4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8" x14ac:dyDescent="0.4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8" x14ac:dyDescent="0.4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8" x14ac:dyDescent="0.4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8" x14ac:dyDescent="0.4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8" x14ac:dyDescent="0.4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8" x14ac:dyDescent="0.4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8" x14ac:dyDescent="0.4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8" x14ac:dyDescent="0.4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8" x14ac:dyDescent="0.4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8" x14ac:dyDescent="0.4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8" x14ac:dyDescent="0.4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8" x14ac:dyDescent="0.4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8" x14ac:dyDescent="0.4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8" x14ac:dyDescent="0.4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8" x14ac:dyDescent="0.4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8" x14ac:dyDescent="0.4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8" x14ac:dyDescent="0.4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8" x14ac:dyDescent="0.4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8" x14ac:dyDescent="0.4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8" x14ac:dyDescent="0.4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8" x14ac:dyDescent="0.4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8" x14ac:dyDescent="0.4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8" x14ac:dyDescent="0.4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8" x14ac:dyDescent="0.4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8" x14ac:dyDescent="0.4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8" x14ac:dyDescent="0.4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8" x14ac:dyDescent="0.4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8" x14ac:dyDescent="0.4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8" x14ac:dyDescent="0.4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8" x14ac:dyDescent="0.4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8" x14ac:dyDescent="0.4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8" x14ac:dyDescent="0.4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8" x14ac:dyDescent="0.4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8" x14ac:dyDescent="0.4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8" x14ac:dyDescent="0.4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8" x14ac:dyDescent="0.4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8" x14ac:dyDescent="0.4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8" x14ac:dyDescent="0.4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8" x14ac:dyDescent="0.4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8" x14ac:dyDescent="0.4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8" x14ac:dyDescent="0.4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8" x14ac:dyDescent="0.4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8" x14ac:dyDescent="0.4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8" x14ac:dyDescent="0.4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8" x14ac:dyDescent="0.4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8" x14ac:dyDescent="0.4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8" x14ac:dyDescent="0.4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8" x14ac:dyDescent="0.4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8" x14ac:dyDescent="0.4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8" x14ac:dyDescent="0.4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8" x14ac:dyDescent="0.4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8" x14ac:dyDescent="0.4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8" x14ac:dyDescent="0.4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8" x14ac:dyDescent="0.4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8" x14ac:dyDescent="0.4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8" x14ac:dyDescent="0.4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8" x14ac:dyDescent="0.4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8" x14ac:dyDescent="0.4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8" x14ac:dyDescent="0.4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8" x14ac:dyDescent="0.4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8" x14ac:dyDescent="0.4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8" x14ac:dyDescent="0.4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8" x14ac:dyDescent="0.4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8" x14ac:dyDescent="0.4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8" x14ac:dyDescent="0.4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8" x14ac:dyDescent="0.4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8" x14ac:dyDescent="0.4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8" x14ac:dyDescent="0.4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8" x14ac:dyDescent="0.4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8" x14ac:dyDescent="0.4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8" x14ac:dyDescent="0.4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8" x14ac:dyDescent="0.4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8" x14ac:dyDescent="0.4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8" x14ac:dyDescent="0.4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8" x14ac:dyDescent="0.4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8" x14ac:dyDescent="0.4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8" x14ac:dyDescent="0.4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8" x14ac:dyDescent="0.4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8" x14ac:dyDescent="0.4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8" x14ac:dyDescent="0.4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8" x14ac:dyDescent="0.4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8" x14ac:dyDescent="0.4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8" x14ac:dyDescent="0.4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8" x14ac:dyDescent="0.4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8" x14ac:dyDescent="0.4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8" x14ac:dyDescent="0.4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8" x14ac:dyDescent="0.4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8" x14ac:dyDescent="0.4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8" x14ac:dyDescent="0.4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8" x14ac:dyDescent="0.4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8" x14ac:dyDescent="0.4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8" x14ac:dyDescent="0.4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8" x14ac:dyDescent="0.4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8" x14ac:dyDescent="0.4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8" x14ac:dyDescent="0.4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8" x14ac:dyDescent="0.4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8" x14ac:dyDescent="0.4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8" x14ac:dyDescent="0.4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8" x14ac:dyDescent="0.4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8" x14ac:dyDescent="0.4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8" x14ac:dyDescent="0.4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8" x14ac:dyDescent="0.4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8" x14ac:dyDescent="0.4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8" x14ac:dyDescent="0.4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8" x14ac:dyDescent="0.4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8" x14ac:dyDescent="0.4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8" x14ac:dyDescent="0.4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8" x14ac:dyDescent="0.4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8" x14ac:dyDescent="0.4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8" x14ac:dyDescent="0.4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8" x14ac:dyDescent="0.4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8" x14ac:dyDescent="0.4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8" x14ac:dyDescent="0.4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8" x14ac:dyDescent="0.4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8" x14ac:dyDescent="0.4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8" x14ac:dyDescent="0.4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8" x14ac:dyDescent="0.4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8" x14ac:dyDescent="0.4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8" x14ac:dyDescent="0.4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8" x14ac:dyDescent="0.4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89" spans="2:38" ht="18" x14ac:dyDescent="0.45"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</row>
    <row r="190" spans="2:38" ht="18" x14ac:dyDescent="0.45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</row>
    <row r="191" spans="2:38" ht="18" x14ac:dyDescent="0.45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</row>
    <row r="192" spans="2:38" ht="18" x14ac:dyDescent="0.4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  <row r="193" spans="2:38" ht="18" x14ac:dyDescent="0.45"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</row>
    <row r="194" spans="2:38" ht="18" x14ac:dyDescent="0.45"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</row>
    <row r="195" spans="2:38" ht="18" x14ac:dyDescent="0.45"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</row>
    <row r="196" spans="2:38" ht="18" x14ac:dyDescent="0.45"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</row>
    <row r="197" spans="2:38" ht="18" x14ac:dyDescent="0.45"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</row>
    <row r="198" spans="2:38" ht="18" x14ac:dyDescent="0.45"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</row>
    <row r="199" spans="2:38" ht="18" x14ac:dyDescent="0.45"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</row>
    <row r="200" spans="2:38" ht="18" x14ac:dyDescent="0.45"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</row>
    <row r="201" spans="2:38" ht="18" x14ac:dyDescent="0.45"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</row>
    <row r="202" spans="2:38" ht="18" x14ac:dyDescent="0.45"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</row>
    <row r="203" spans="2:38" ht="18" x14ac:dyDescent="0.45"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</row>
    <row r="204" spans="2:38" ht="18" x14ac:dyDescent="0.45"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</row>
    <row r="205" spans="2:38" ht="18" x14ac:dyDescent="0.45"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</row>
    <row r="206" spans="2:38" ht="18" x14ac:dyDescent="0.45"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</row>
    <row r="207" spans="2:38" ht="18" x14ac:dyDescent="0.45"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</row>
    <row r="208" spans="2:38" ht="18" x14ac:dyDescent="0.45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</row>
    <row r="209" spans="2:38" ht="18" x14ac:dyDescent="0.45"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</row>
    <row r="210" spans="2:38" ht="18" x14ac:dyDescent="0.45"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</row>
    <row r="211" spans="2:38" ht="18" x14ac:dyDescent="0.45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</row>
    <row r="212" spans="2:38" ht="18" x14ac:dyDescent="0.45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</row>
    <row r="213" spans="2:38" ht="18" x14ac:dyDescent="0.45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</row>
    <row r="214" spans="2:38" ht="18" x14ac:dyDescent="0.45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</row>
    <row r="215" spans="2:38" ht="18" x14ac:dyDescent="0.45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</row>
    <row r="216" spans="2:38" ht="18" x14ac:dyDescent="0.45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</row>
    <row r="217" spans="2:38" ht="18" x14ac:dyDescent="0.45"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</row>
    <row r="218" spans="2:38" ht="18" x14ac:dyDescent="0.45"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</row>
    <row r="219" spans="2:38" ht="18" x14ac:dyDescent="0.45"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</row>
    <row r="220" spans="2:38" ht="18" x14ac:dyDescent="0.45"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</row>
    <row r="221" spans="2:38" ht="18" x14ac:dyDescent="0.45"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</row>
    <row r="222" spans="2:38" ht="18" x14ac:dyDescent="0.45"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</row>
    <row r="223" spans="2:38" ht="18" x14ac:dyDescent="0.45"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</row>
    <row r="224" spans="2:38" ht="18" x14ac:dyDescent="0.45"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</row>
    <row r="225" spans="2:38" ht="18" x14ac:dyDescent="0.45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</row>
    <row r="226" spans="2:38" ht="18" x14ac:dyDescent="0.45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</row>
    <row r="227" spans="2:38" ht="18" x14ac:dyDescent="0.45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</row>
    <row r="228" spans="2:38" ht="18" x14ac:dyDescent="0.45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</row>
    <row r="229" spans="2:38" ht="18" x14ac:dyDescent="0.45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</row>
    <row r="230" spans="2:38" ht="18" x14ac:dyDescent="0.45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</row>
    <row r="231" spans="2:38" ht="18" x14ac:dyDescent="0.45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</row>
    <row r="232" spans="2:38" ht="18" x14ac:dyDescent="0.45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</row>
    <row r="233" spans="2:38" ht="18" x14ac:dyDescent="0.45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</row>
    <row r="234" spans="2:38" ht="18" x14ac:dyDescent="0.45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</row>
    <row r="235" spans="2:38" ht="18" x14ac:dyDescent="0.45"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</row>
    <row r="236" spans="2:38" ht="18" x14ac:dyDescent="0.45"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</row>
    <row r="237" spans="2:38" ht="18" x14ac:dyDescent="0.45"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</row>
    <row r="238" spans="2:38" ht="18" x14ac:dyDescent="0.45"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</row>
    <row r="239" spans="2:38" ht="18" x14ac:dyDescent="0.45"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</row>
    <row r="240" spans="2:38" ht="18" x14ac:dyDescent="0.45"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</row>
    <row r="241" spans="2:38" ht="18" x14ac:dyDescent="0.45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</row>
    <row r="242" spans="2:38" ht="18" x14ac:dyDescent="0.45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</row>
    <row r="243" spans="2:38" ht="18" x14ac:dyDescent="0.45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</row>
    <row r="244" spans="2:38" ht="18" x14ac:dyDescent="0.45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</row>
    <row r="245" spans="2:38" ht="18" x14ac:dyDescent="0.45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</row>
    <row r="246" spans="2:38" ht="18" x14ac:dyDescent="0.45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</row>
    <row r="247" spans="2:38" ht="18" x14ac:dyDescent="0.45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</row>
    <row r="248" spans="2:38" ht="18" x14ac:dyDescent="0.45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</row>
    <row r="249" spans="2:38" ht="18" x14ac:dyDescent="0.45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</row>
    <row r="250" spans="2:38" ht="18" x14ac:dyDescent="0.45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</row>
    <row r="251" spans="2:38" ht="18" x14ac:dyDescent="0.45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</row>
    <row r="252" spans="2:38" ht="18" x14ac:dyDescent="0.45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</row>
    <row r="253" spans="2:38" ht="18" x14ac:dyDescent="0.45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</row>
    <row r="254" spans="2:38" ht="18" x14ac:dyDescent="0.45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</row>
    <row r="255" spans="2:38" ht="18" x14ac:dyDescent="0.45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</row>
    <row r="256" spans="2:38" ht="18" x14ac:dyDescent="0.45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</row>
    <row r="257" spans="2:38" ht="18" x14ac:dyDescent="0.45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</row>
    <row r="258" spans="2:38" ht="18" x14ac:dyDescent="0.45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</row>
    <row r="259" spans="2:38" ht="18" x14ac:dyDescent="0.45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</row>
    <row r="260" spans="2:38" ht="18" x14ac:dyDescent="0.45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</row>
    <row r="261" spans="2:38" ht="18" x14ac:dyDescent="0.45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</row>
    <row r="262" spans="2:38" ht="18" x14ac:dyDescent="0.45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</row>
    <row r="263" spans="2:38" ht="18" x14ac:dyDescent="0.45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</row>
    <row r="264" spans="2:38" ht="18" x14ac:dyDescent="0.45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</row>
    <row r="265" spans="2:38" ht="18" x14ac:dyDescent="0.45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</row>
    <row r="266" spans="2:38" ht="18" x14ac:dyDescent="0.45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</row>
    <row r="267" spans="2:38" ht="18" x14ac:dyDescent="0.45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</row>
    <row r="268" spans="2:38" ht="18" x14ac:dyDescent="0.45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</row>
    <row r="269" spans="2:38" ht="18" x14ac:dyDescent="0.45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</row>
    <row r="270" spans="2:38" ht="18" x14ac:dyDescent="0.45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</row>
    <row r="271" spans="2:38" ht="18" x14ac:dyDescent="0.45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</row>
    <row r="272" spans="2:38" ht="18" x14ac:dyDescent="0.45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</row>
    <row r="273" spans="2:38" ht="18" x14ac:dyDescent="0.45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</row>
    <row r="274" spans="2:38" ht="18" x14ac:dyDescent="0.45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</row>
    <row r="275" spans="2:38" ht="18" x14ac:dyDescent="0.45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</row>
    <row r="276" spans="2:38" ht="18" x14ac:dyDescent="0.45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</row>
    <row r="277" spans="2:38" ht="18" x14ac:dyDescent="0.45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</row>
    <row r="278" spans="2:38" ht="18" x14ac:dyDescent="0.45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</row>
    <row r="279" spans="2:38" ht="18" x14ac:dyDescent="0.45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</row>
    <row r="280" spans="2:38" ht="18" x14ac:dyDescent="0.45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</row>
    <row r="281" spans="2:38" ht="18" x14ac:dyDescent="0.45"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</row>
    <row r="282" spans="2:38" ht="18" x14ac:dyDescent="0.45"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</row>
    <row r="283" spans="2:38" ht="18" x14ac:dyDescent="0.45"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</row>
    <row r="284" spans="2:38" ht="18" x14ac:dyDescent="0.45"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</row>
    <row r="285" spans="2:38" ht="18" x14ac:dyDescent="0.45"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</row>
    <row r="286" spans="2:38" ht="18" x14ac:dyDescent="0.45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</row>
    <row r="287" spans="2:38" ht="18" x14ac:dyDescent="0.45"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</row>
    <row r="288" spans="2:38" ht="18" x14ac:dyDescent="0.45"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</row>
    <row r="289" spans="2:38" ht="18" x14ac:dyDescent="0.45"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</row>
    <row r="290" spans="2:38" ht="18" x14ac:dyDescent="0.45"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</row>
    <row r="291" spans="2:38" ht="18" x14ac:dyDescent="0.45"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</row>
    <row r="292" spans="2:38" ht="18" x14ac:dyDescent="0.45"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</row>
    <row r="293" spans="2:38" ht="18" x14ac:dyDescent="0.45"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</row>
    <row r="294" spans="2:38" ht="18" x14ac:dyDescent="0.45"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</row>
    <row r="295" spans="2:38" ht="18" x14ac:dyDescent="0.45"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</row>
    <row r="296" spans="2:38" ht="18" x14ac:dyDescent="0.45"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</row>
    <row r="297" spans="2:38" ht="18" x14ac:dyDescent="0.45"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</row>
    <row r="298" spans="2:38" ht="18" x14ac:dyDescent="0.45"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</row>
    <row r="299" spans="2:38" ht="18" x14ac:dyDescent="0.45"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</row>
    <row r="300" spans="2:38" ht="18" x14ac:dyDescent="0.45"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</row>
    <row r="301" spans="2:38" ht="18" x14ac:dyDescent="0.45"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</row>
    <row r="302" spans="2:38" ht="18" x14ac:dyDescent="0.45"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</row>
    <row r="303" spans="2:38" ht="18" x14ac:dyDescent="0.45"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</row>
    <row r="304" spans="2:38" ht="18" x14ac:dyDescent="0.45"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</row>
    <row r="305" spans="2:38" ht="18" x14ac:dyDescent="0.45"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</row>
    <row r="306" spans="2:38" ht="18" x14ac:dyDescent="0.45"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</row>
    <row r="307" spans="2:38" ht="18" x14ac:dyDescent="0.45"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</row>
    <row r="308" spans="2:38" ht="18" x14ac:dyDescent="0.45"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</row>
    <row r="309" spans="2:38" ht="18" x14ac:dyDescent="0.45"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</row>
    <row r="310" spans="2:38" ht="18" x14ac:dyDescent="0.45"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</row>
    <row r="311" spans="2:38" ht="18" x14ac:dyDescent="0.45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</row>
    <row r="312" spans="2:38" ht="18" x14ac:dyDescent="0.45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</row>
    <row r="313" spans="2:38" ht="18" x14ac:dyDescent="0.45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</row>
    <row r="314" spans="2:38" ht="18" x14ac:dyDescent="0.45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</row>
    <row r="315" spans="2:38" ht="18" x14ac:dyDescent="0.45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</row>
    <row r="316" spans="2:38" ht="18" x14ac:dyDescent="0.45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</row>
    <row r="317" spans="2:38" ht="18" x14ac:dyDescent="0.45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</row>
    <row r="318" spans="2:38" ht="18" x14ac:dyDescent="0.45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</row>
    <row r="319" spans="2:38" ht="18" x14ac:dyDescent="0.45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</row>
    <row r="320" spans="2:38" ht="18" x14ac:dyDescent="0.45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</row>
    <row r="321" spans="2:38" ht="18" x14ac:dyDescent="0.45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</row>
    <row r="322" spans="2:38" ht="18" x14ac:dyDescent="0.45"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</row>
    <row r="323" spans="2:38" ht="18" x14ac:dyDescent="0.45"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</row>
    <row r="324" spans="2:38" ht="18" x14ac:dyDescent="0.45"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</row>
    <row r="325" spans="2:38" ht="18" x14ac:dyDescent="0.45"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</row>
    <row r="326" spans="2:38" ht="18" x14ac:dyDescent="0.45"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</row>
    <row r="327" spans="2:38" ht="18" x14ac:dyDescent="0.45"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</row>
    <row r="328" spans="2:38" ht="18" x14ac:dyDescent="0.45"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</row>
    <row r="329" spans="2:38" ht="18" x14ac:dyDescent="0.45"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</row>
    <row r="330" spans="2:38" ht="18" x14ac:dyDescent="0.45"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</row>
    <row r="331" spans="2:38" ht="18" x14ac:dyDescent="0.45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</row>
    <row r="332" spans="2:38" ht="18" x14ac:dyDescent="0.45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</row>
    <row r="333" spans="2:38" ht="18" x14ac:dyDescent="0.45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</row>
    <row r="334" spans="2:38" ht="18" x14ac:dyDescent="0.45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</row>
    <row r="335" spans="2:38" ht="18" x14ac:dyDescent="0.45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</row>
    <row r="336" spans="2:38" ht="18" x14ac:dyDescent="0.45"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</row>
    <row r="337" spans="2:38" ht="18" x14ac:dyDescent="0.45"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</row>
    <row r="338" spans="2:38" ht="18" x14ac:dyDescent="0.45"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</row>
    <row r="339" spans="2:38" ht="18" x14ac:dyDescent="0.45"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</row>
    <row r="340" spans="2:38" ht="18" x14ac:dyDescent="0.45"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</row>
    <row r="341" spans="2:38" ht="18" x14ac:dyDescent="0.45"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</row>
    <row r="342" spans="2:38" ht="18" x14ac:dyDescent="0.45"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</row>
    <row r="343" spans="2:38" ht="18" x14ac:dyDescent="0.45"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</row>
    <row r="344" spans="2:38" ht="18" x14ac:dyDescent="0.45"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</row>
    <row r="345" spans="2:38" ht="18" x14ac:dyDescent="0.45"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</row>
    <row r="346" spans="2:38" ht="18" x14ac:dyDescent="0.45"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</row>
    <row r="347" spans="2:38" ht="18" x14ac:dyDescent="0.45"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</row>
    <row r="348" spans="2:38" ht="18" x14ac:dyDescent="0.45"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</row>
    <row r="349" spans="2:38" ht="18" x14ac:dyDescent="0.45"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</row>
    <row r="350" spans="2:38" ht="18" x14ac:dyDescent="0.45"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</row>
    <row r="351" spans="2:38" ht="18" x14ac:dyDescent="0.45"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</row>
    <row r="352" spans="2:38" ht="18" x14ac:dyDescent="0.45"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</row>
    <row r="353" spans="2:38" ht="18" x14ac:dyDescent="0.45"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</row>
    <row r="354" spans="2:38" ht="18" x14ac:dyDescent="0.45"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</row>
    <row r="355" spans="2:38" ht="18" x14ac:dyDescent="0.45"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</row>
    <row r="356" spans="2:38" ht="18" x14ac:dyDescent="0.45"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</row>
    <row r="357" spans="2:38" ht="18" x14ac:dyDescent="0.45"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</row>
    <row r="358" spans="2:38" ht="18" x14ac:dyDescent="0.45"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</row>
    <row r="359" spans="2:38" ht="18" x14ac:dyDescent="0.45"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</row>
    <row r="360" spans="2:38" ht="18" x14ac:dyDescent="0.45"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</row>
    <row r="361" spans="2:38" ht="18" x14ac:dyDescent="0.45"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</row>
    <row r="362" spans="2:38" ht="18" x14ac:dyDescent="0.45"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</row>
    <row r="363" spans="2:38" ht="18" x14ac:dyDescent="0.45"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</row>
    <row r="364" spans="2:38" ht="18" x14ac:dyDescent="0.45"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</row>
    <row r="365" spans="2:38" ht="18" x14ac:dyDescent="0.45"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</row>
    <row r="366" spans="2:38" ht="18" x14ac:dyDescent="0.45"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</row>
    <row r="367" spans="2:38" ht="18" x14ac:dyDescent="0.45"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</row>
    <row r="368" spans="2:38" ht="18" x14ac:dyDescent="0.45"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</row>
    <row r="369" spans="2:38" ht="18" x14ac:dyDescent="0.45"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</row>
    <row r="370" spans="2:38" ht="18" x14ac:dyDescent="0.45"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</row>
    <row r="371" spans="2:38" ht="18" x14ac:dyDescent="0.45"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</row>
    <row r="372" spans="2:38" ht="18" x14ac:dyDescent="0.45"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</row>
    <row r="373" spans="2:38" ht="18" x14ac:dyDescent="0.45"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</row>
    <row r="374" spans="2:38" ht="18" x14ac:dyDescent="0.45"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</row>
    <row r="375" spans="2:38" ht="18" x14ac:dyDescent="0.45"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</row>
    <row r="376" spans="2:38" ht="18" x14ac:dyDescent="0.45"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</row>
    <row r="377" spans="2:38" ht="18" x14ac:dyDescent="0.45"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</row>
    <row r="378" spans="2:38" ht="18" x14ac:dyDescent="0.45"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</row>
    <row r="379" spans="2:38" ht="18" x14ac:dyDescent="0.45"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</row>
    <row r="380" spans="2:38" ht="18" x14ac:dyDescent="0.45"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</row>
    <row r="381" spans="2:38" ht="18" x14ac:dyDescent="0.45"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</row>
    <row r="382" spans="2:38" ht="18" x14ac:dyDescent="0.45"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</row>
    <row r="383" spans="2:38" ht="18" x14ac:dyDescent="0.45"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</row>
    <row r="384" spans="2:38" ht="18" x14ac:dyDescent="0.45"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</row>
    <row r="385" spans="2:38" ht="18" x14ac:dyDescent="0.45"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</row>
    <row r="386" spans="2:38" ht="18" x14ac:dyDescent="0.45"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</row>
    <row r="387" spans="2:38" ht="18" x14ac:dyDescent="0.45"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</row>
    <row r="388" spans="2:38" ht="18" x14ac:dyDescent="0.45"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</row>
    <row r="389" spans="2:38" ht="18" x14ac:dyDescent="0.45"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</row>
    <row r="390" spans="2:38" ht="18" x14ac:dyDescent="0.45"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</row>
    <row r="391" spans="2:38" ht="18" x14ac:dyDescent="0.45"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</row>
    <row r="392" spans="2:38" ht="18" x14ac:dyDescent="0.45"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</row>
    <row r="393" spans="2:38" ht="18" x14ac:dyDescent="0.45"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</row>
    <row r="394" spans="2:38" ht="18" x14ac:dyDescent="0.45"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</row>
    <row r="395" spans="2:38" ht="18" x14ac:dyDescent="0.45"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</row>
    <row r="396" spans="2:38" ht="18" x14ac:dyDescent="0.45"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</row>
    <row r="397" spans="2:38" ht="18" x14ac:dyDescent="0.45"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</row>
    <row r="398" spans="2:38" ht="18" x14ac:dyDescent="0.45"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</row>
    <row r="399" spans="2:38" ht="18" x14ac:dyDescent="0.45"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</row>
    <row r="400" spans="2:38" ht="18" x14ac:dyDescent="0.45"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</row>
    <row r="401" spans="2:38" ht="18" x14ac:dyDescent="0.45"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</row>
    <row r="402" spans="2:38" ht="18" x14ac:dyDescent="0.45"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</row>
    <row r="403" spans="2:38" ht="18" x14ac:dyDescent="0.45"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</row>
    <row r="404" spans="2:38" ht="18" x14ac:dyDescent="0.45"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</row>
    <row r="405" spans="2:38" ht="18" x14ac:dyDescent="0.45"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</row>
    <row r="406" spans="2:38" ht="18" x14ac:dyDescent="0.45"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</row>
    <row r="407" spans="2:38" ht="18" x14ac:dyDescent="0.45"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</row>
    <row r="408" spans="2:38" ht="18" x14ac:dyDescent="0.45"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</row>
    <row r="409" spans="2:38" ht="18" x14ac:dyDescent="0.45"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</row>
    <row r="410" spans="2:38" ht="18" x14ac:dyDescent="0.45"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</row>
    <row r="411" spans="2:38" ht="18" x14ac:dyDescent="0.45"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</row>
    <row r="412" spans="2:38" ht="18" x14ac:dyDescent="0.45"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</row>
    <row r="413" spans="2:38" ht="18" x14ac:dyDescent="0.45"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</row>
    <row r="414" spans="2:38" ht="18" x14ac:dyDescent="0.45"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</row>
    <row r="415" spans="2:38" ht="18" x14ac:dyDescent="0.45"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</row>
    <row r="416" spans="2:38" ht="18" x14ac:dyDescent="0.45"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</row>
    <row r="417" spans="2:38" ht="18" x14ac:dyDescent="0.45"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</row>
    <row r="418" spans="2:38" ht="18" x14ac:dyDescent="0.45"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</row>
    <row r="419" spans="2:38" ht="18" x14ac:dyDescent="0.45"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</row>
    <row r="420" spans="2:38" ht="18" x14ac:dyDescent="0.45"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</row>
    <row r="421" spans="2:38" ht="18" x14ac:dyDescent="0.45"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</row>
    <row r="422" spans="2:38" ht="18" x14ac:dyDescent="0.45"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</row>
    <row r="423" spans="2:38" ht="18" x14ac:dyDescent="0.45"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</row>
    <row r="424" spans="2:38" ht="18" x14ac:dyDescent="0.45"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</row>
    <row r="425" spans="2:38" ht="18" x14ac:dyDescent="0.45"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</row>
    <row r="426" spans="2:38" ht="18" x14ac:dyDescent="0.45"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</row>
    <row r="427" spans="2:38" ht="18" x14ac:dyDescent="0.45"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</row>
    <row r="428" spans="2:38" ht="18" x14ac:dyDescent="0.45"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</row>
    <row r="429" spans="2:38" ht="18" x14ac:dyDescent="0.45"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</row>
    <row r="430" spans="2:38" ht="18" x14ac:dyDescent="0.45"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</row>
    <row r="431" spans="2:38" ht="18" x14ac:dyDescent="0.45"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</row>
    <row r="432" spans="2:38" ht="18" x14ac:dyDescent="0.45"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</row>
    <row r="433" spans="2:38" ht="18" x14ac:dyDescent="0.45"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</row>
    <row r="434" spans="2:38" ht="18" x14ac:dyDescent="0.45"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</row>
    <row r="435" spans="2:38" ht="18" x14ac:dyDescent="0.45"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</row>
    <row r="436" spans="2:38" ht="18" x14ac:dyDescent="0.45"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</row>
    <row r="437" spans="2:38" ht="18" x14ac:dyDescent="0.45"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</row>
    <row r="438" spans="2:38" ht="18" x14ac:dyDescent="0.45"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</row>
    <row r="439" spans="2:38" ht="18" x14ac:dyDescent="0.45"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</row>
    <row r="440" spans="2:38" ht="18" x14ac:dyDescent="0.45"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</row>
    <row r="441" spans="2:38" ht="18" x14ac:dyDescent="0.45"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</row>
    <row r="442" spans="2:38" ht="18" x14ac:dyDescent="0.45"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</row>
    <row r="443" spans="2:38" ht="18" x14ac:dyDescent="0.45"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</row>
    <row r="444" spans="2:38" ht="18" x14ac:dyDescent="0.45"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</row>
    <row r="445" spans="2:38" ht="18" x14ac:dyDescent="0.45"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</row>
    <row r="446" spans="2:38" ht="18" x14ac:dyDescent="0.45"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</row>
    <row r="447" spans="2:38" ht="18" x14ac:dyDescent="0.45"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</row>
    <row r="448" spans="2:38" ht="18" x14ac:dyDescent="0.45"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</row>
    <row r="449" spans="2:38" ht="18" x14ac:dyDescent="0.45"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</row>
    <row r="450" spans="2:38" ht="18" x14ac:dyDescent="0.45"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</row>
    <row r="451" spans="2:38" ht="18" x14ac:dyDescent="0.45"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</row>
    <row r="452" spans="2:38" ht="18" x14ac:dyDescent="0.45"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</row>
    <row r="453" spans="2:38" ht="18" x14ac:dyDescent="0.45"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</row>
    <row r="454" spans="2:38" ht="18" x14ac:dyDescent="0.45"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</row>
    <row r="455" spans="2:38" ht="18" x14ac:dyDescent="0.45"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</row>
    <row r="456" spans="2:38" ht="18" x14ac:dyDescent="0.45"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</row>
    <row r="457" spans="2:38" ht="18" x14ac:dyDescent="0.45"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</row>
    <row r="458" spans="2:38" ht="18" x14ac:dyDescent="0.45"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</row>
    <row r="459" spans="2:38" ht="18" x14ac:dyDescent="0.45"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</row>
    <row r="460" spans="2:38" ht="18" x14ac:dyDescent="0.45"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</row>
    <row r="461" spans="2:38" ht="18" x14ac:dyDescent="0.45"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</row>
    <row r="462" spans="2:38" ht="18" x14ac:dyDescent="0.45"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</row>
    <row r="463" spans="2:38" ht="18" x14ac:dyDescent="0.45"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</row>
    <row r="464" spans="2:38" ht="18" x14ac:dyDescent="0.45"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</row>
    <row r="465" spans="2:38" ht="18" x14ac:dyDescent="0.45"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</row>
    <row r="466" spans="2:38" ht="18" x14ac:dyDescent="0.45"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</row>
    <row r="467" spans="2:38" ht="18" x14ac:dyDescent="0.45"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</row>
    <row r="468" spans="2:38" ht="18" x14ac:dyDescent="0.45"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</row>
    <row r="469" spans="2:38" ht="18" x14ac:dyDescent="0.45"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</row>
    <row r="470" spans="2:38" ht="18" x14ac:dyDescent="0.45"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</row>
    <row r="471" spans="2:38" ht="18" x14ac:dyDescent="0.45"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</row>
    <row r="472" spans="2:38" ht="18" x14ac:dyDescent="0.45"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</row>
    <row r="473" spans="2:38" ht="18" x14ac:dyDescent="0.45"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</row>
    <row r="474" spans="2:38" ht="18" x14ac:dyDescent="0.45"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</row>
    <row r="475" spans="2:38" ht="18" x14ac:dyDescent="0.45"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</row>
    <row r="476" spans="2:38" ht="18" x14ac:dyDescent="0.45"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</row>
    <row r="477" spans="2:38" ht="18" x14ac:dyDescent="0.45"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</row>
    <row r="478" spans="2:38" ht="18" x14ac:dyDescent="0.45"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</row>
    <row r="479" spans="2:38" ht="18" x14ac:dyDescent="0.45"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</row>
    <row r="480" spans="2:38" ht="18" x14ac:dyDescent="0.45"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</row>
    <row r="481" spans="2:38" ht="18" x14ac:dyDescent="0.45"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</row>
    <row r="482" spans="2:38" ht="18" x14ac:dyDescent="0.45"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</row>
    <row r="483" spans="2:38" ht="18" x14ac:dyDescent="0.45"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</row>
    <row r="484" spans="2:38" ht="18" x14ac:dyDescent="0.45"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</row>
    <row r="485" spans="2:38" ht="18" x14ac:dyDescent="0.45"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</row>
    <row r="486" spans="2:38" ht="18" x14ac:dyDescent="0.45"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</row>
    <row r="487" spans="2:38" ht="18" x14ac:dyDescent="0.45"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</row>
    <row r="488" spans="2:38" ht="18" x14ac:dyDescent="0.45"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</row>
    <row r="489" spans="2:38" ht="18" x14ac:dyDescent="0.45"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</row>
    <row r="490" spans="2:38" ht="18" x14ac:dyDescent="0.45"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</row>
    <row r="491" spans="2:38" ht="18" x14ac:dyDescent="0.45"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</row>
    <row r="492" spans="2:38" ht="18" x14ac:dyDescent="0.45"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</row>
    <row r="493" spans="2:38" ht="18" x14ac:dyDescent="0.45"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</row>
    <row r="494" spans="2:38" ht="18" x14ac:dyDescent="0.45"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</row>
    <row r="495" spans="2:38" ht="18" x14ac:dyDescent="0.45"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</row>
    <row r="496" spans="2:38" ht="18" x14ac:dyDescent="0.45"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</row>
    <row r="497" spans="2:38" ht="18" x14ac:dyDescent="0.45"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</row>
    <row r="498" spans="2:38" ht="18" x14ac:dyDescent="0.45"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</row>
    <row r="499" spans="2:38" ht="18" x14ac:dyDescent="0.45"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</row>
    <row r="500" spans="2:38" ht="18" x14ac:dyDescent="0.45"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</row>
    <row r="501" spans="2:38" ht="18" x14ac:dyDescent="0.45"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</row>
    <row r="502" spans="2:38" ht="18" x14ac:dyDescent="0.45"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</row>
    <row r="503" spans="2:38" ht="18" x14ac:dyDescent="0.45"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</row>
    <row r="504" spans="2:38" ht="18" x14ac:dyDescent="0.45"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</row>
    <row r="505" spans="2:38" ht="18" x14ac:dyDescent="0.45"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</row>
    <row r="506" spans="2:38" ht="18" x14ac:dyDescent="0.45"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</row>
    <row r="507" spans="2:38" ht="18" x14ac:dyDescent="0.45"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</row>
    <row r="508" spans="2:38" ht="18" x14ac:dyDescent="0.45"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</row>
    <row r="509" spans="2:38" ht="18" x14ac:dyDescent="0.45"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</row>
    <row r="510" spans="2:38" ht="18" x14ac:dyDescent="0.45"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</row>
    <row r="511" spans="2:38" ht="18" x14ac:dyDescent="0.45"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</row>
    <row r="512" spans="2:38" ht="18" x14ac:dyDescent="0.45"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</row>
    <row r="513" spans="2:38" ht="18" x14ac:dyDescent="0.45"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</row>
    <row r="514" spans="2:38" ht="18" x14ac:dyDescent="0.45"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</row>
    <row r="515" spans="2:38" ht="18" x14ac:dyDescent="0.45"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</row>
    <row r="516" spans="2:38" ht="18" x14ac:dyDescent="0.45"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</row>
    <row r="517" spans="2:38" ht="18" x14ac:dyDescent="0.45"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</row>
    <row r="518" spans="2:38" ht="18" x14ac:dyDescent="0.45"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</row>
    <row r="519" spans="2:38" ht="18" x14ac:dyDescent="0.45"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</row>
    <row r="520" spans="2:38" ht="18" x14ac:dyDescent="0.45"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</row>
    <row r="521" spans="2:38" ht="18" x14ac:dyDescent="0.45"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</row>
    <row r="522" spans="2:38" ht="18" x14ac:dyDescent="0.45"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</row>
    <row r="523" spans="2:38" ht="18" x14ac:dyDescent="0.45"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</row>
    <row r="524" spans="2:38" ht="18" x14ac:dyDescent="0.45"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</row>
    <row r="525" spans="2:38" ht="18" x14ac:dyDescent="0.45"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</row>
    <row r="526" spans="2:38" ht="18" x14ac:dyDescent="0.45"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</row>
    <row r="527" spans="2:38" ht="18" x14ac:dyDescent="0.45"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</row>
    <row r="528" spans="2:38" ht="18" x14ac:dyDescent="0.45"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</row>
    <row r="529" spans="2:38" ht="18" x14ac:dyDescent="0.45"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</row>
    <row r="530" spans="2:38" ht="18" x14ac:dyDescent="0.45"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</row>
    <row r="531" spans="2:38" ht="18" x14ac:dyDescent="0.45"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</row>
    <row r="532" spans="2:38" ht="18" x14ac:dyDescent="0.45"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</row>
    <row r="533" spans="2:38" ht="18" x14ac:dyDescent="0.45"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</row>
    <row r="534" spans="2:38" ht="18" x14ac:dyDescent="0.45"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</row>
    <row r="535" spans="2:38" ht="18" x14ac:dyDescent="0.45"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</row>
    <row r="536" spans="2:38" ht="18" x14ac:dyDescent="0.45"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</row>
    <row r="537" spans="2:38" ht="18" x14ac:dyDescent="0.45"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</row>
    <row r="538" spans="2:38" ht="18" x14ac:dyDescent="0.45"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</row>
    <row r="539" spans="2:38" ht="18" x14ac:dyDescent="0.45"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</row>
    <row r="540" spans="2:38" ht="18" x14ac:dyDescent="0.45"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</row>
    <row r="541" spans="2:38" ht="18" x14ac:dyDescent="0.45"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</row>
    <row r="542" spans="2:38" ht="18" x14ac:dyDescent="0.45"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</row>
    <row r="543" spans="2:38" ht="18" x14ac:dyDescent="0.45"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</row>
    <row r="544" spans="2:38" ht="18" x14ac:dyDescent="0.45"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</row>
    <row r="545" spans="2:38" ht="18" x14ac:dyDescent="0.45"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</row>
    <row r="546" spans="2:38" ht="18" x14ac:dyDescent="0.45"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</row>
    <row r="547" spans="2:38" ht="18" x14ac:dyDescent="0.45"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</row>
    <row r="548" spans="2:38" ht="18" x14ac:dyDescent="0.45"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</row>
    <row r="549" spans="2:38" ht="18" x14ac:dyDescent="0.45"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</row>
    <row r="550" spans="2:38" ht="18" x14ac:dyDescent="0.45"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</row>
    <row r="551" spans="2:38" ht="18" x14ac:dyDescent="0.45"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</row>
    <row r="552" spans="2:38" ht="18" x14ac:dyDescent="0.45"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</row>
    <row r="553" spans="2:38" ht="18" x14ac:dyDescent="0.45"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</row>
    <row r="554" spans="2:38" ht="18" x14ac:dyDescent="0.45"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</row>
    <row r="555" spans="2:38" ht="18" x14ac:dyDescent="0.45"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</row>
    <row r="556" spans="2:38" ht="18" x14ac:dyDescent="0.45"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</row>
    <row r="557" spans="2:38" ht="18" x14ac:dyDescent="0.45"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</row>
    <row r="558" spans="2:38" ht="18" x14ac:dyDescent="0.45"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</row>
    <row r="559" spans="2:38" ht="18" x14ac:dyDescent="0.45"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</row>
    <row r="560" spans="2:38" ht="18" x14ac:dyDescent="0.45"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</row>
    <row r="561" spans="2:38" ht="18" x14ac:dyDescent="0.45"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</row>
    <row r="562" spans="2:38" ht="18" x14ac:dyDescent="0.45"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</row>
    <row r="563" spans="2:38" ht="18" x14ac:dyDescent="0.45"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</row>
    <row r="564" spans="2:38" ht="18" x14ac:dyDescent="0.45"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</row>
    <row r="565" spans="2:38" ht="18" x14ac:dyDescent="0.45"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</row>
    <row r="566" spans="2:38" ht="18" x14ac:dyDescent="0.45"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</row>
    <row r="567" spans="2:38" ht="18" x14ac:dyDescent="0.45"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</row>
    <row r="568" spans="2:38" ht="18" x14ac:dyDescent="0.45"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</row>
    <row r="569" spans="2:38" ht="18" x14ac:dyDescent="0.45"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</row>
    <row r="570" spans="2:38" ht="18" x14ac:dyDescent="0.45"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</row>
    <row r="571" spans="2:38" ht="18" x14ac:dyDescent="0.45"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</row>
    <row r="572" spans="2:38" ht="18" x14ac:dyDescent="0.45"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</row>
    <row r="573" spans="2:38" ht="18" x14ac:dyDescent="0.45"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</row>
    <row r="574" spans="2:38" ht="18" x14ac:dyDescent="0.45"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</row>
    <row r="575" spans="2:38" ht="18" x14ac:dyDescent="0.45"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</row>
    <row r="576" spans="2:38" ht="18" x14ac:dyDescent="0.45"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</row>
    <row r="577" spans="2:38" ht="18" x14ac:dyDescent="0.45"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</row>
    <row r="578" spans="2:38" ht="18" x14ac:dyDescent="0.45"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</row>
    <row r="579" spans="2:38" ht="18" x14ac:dyDescent="0.45"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</row>
    <row r="580" spans="2:38" ht="18" x14ac:dyDescent="0.45"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</row>
    <row r="581" spans="2:38" ht="18" x14ac:dyDescent="0.45"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</row>
    <row r="582" spans="2:38" ht="18" x14ac:dyDescent="0.45"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</row>
    <row r="583" spans="2:38" ht="18" x14ac:dyDescent="0.45"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</row>
    <row r="584" spans="2:38" ht="18" x14ac:dyDescent="0.45"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</row>
    <row r="585" spans="2:38" ht="18" x14ac:dyDescent="0.45"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</row>
    <row r="586" spans="2:38" ht="18" x14ac:dyDescent="0.45"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</row>
    <row r="587" spans="2:38" ht="18" x14ac:dyDescent="0.45"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</row>
    <row r="588" spans="2:38" ht="18" x14ac:dyDescent="0.45"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</row>
    <row r="589" spans="2:38" ht="18" x14ac:dyDescent="0.45"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</row>
    <row r="590" spans="2:38" ht="18" x14ac:dyDescent="0.45"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</row>
    <row r="591" spans="2:38" ht="18" x14ac:dyDescent="0.45"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</row>
    <row r="592" spans="2:38" ht="18" x14ac:dyDescent="0.45"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</row>
    <row r="593" spans="2:38" ht="18" x14ac:dyDescent="0.45"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</row>
    <row r="594" spans="2:38" ht="18" x14ac:dyDescent="0.45"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</row>
    <row r="595" spans="2:38" ht="18" x14ac:dyDescent="0.45"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</row>
    <row r="596" spans="2:38" ht="18" x14ac:dyDescent="0.45"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</row>
    <row r="597" spans="2:38" ht="18" x14ac:dyDescent="0.45"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</row>
    <row r="598" spans="2:38" ht="18" x14ac:dyDescent="0.45"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</row>
    <row r="599" spans="2:38" ht="18" x14ac:dyDescent="0.45"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</row>
    <row r="600" spans="2:38" ht="18" x14ac:dyDescent="0.45"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</row>
    <row r="601" spans="2:38" ht="18" x14ac:dyDescent="0.45"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</row>
    <row r="602" spans="2:38" ht="18" x14ac:dyDescent="0.45"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</row>
    <row r="603" spans="2:38" ht="18" x14ac:dyDescent="0.45"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</row>
    <row r="604" spans="2:38" ht="18" x14ac:dyDescent="0.45"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</row>
    <row r="605" spans="2:38" ht="18" x14ac:dyDescent="0.45"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</row>
    <row r="606" spans="2:38" ht="18" x14ac:dyDescent="0.45"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</row>
    <row r="607" spans="2:38" ht="18" x14ac:dyDescent="0.45"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</row>
    <row r="608" spans="2:38" ht="18" x14ac:dyDescent="0.45"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</row>
    <row r="609" spans="2:38" ht="18" x14ac:dyDescent="0.45"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</row>
    <row r="610" spans="2:38" ht="18" x14ac:dyDescent="0.45"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</row>
    <row r="611" spans="2:38" ht="18" x14ac:dyDescent="0.45"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</row>
    <row r="612" spans="2:38" ht="18" x14ac:dyDescent="0.45"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</row>
    <row r="613" spans="2:38" ht="18" x14ac:dyDescent="0.45"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</row>
    <row r="614" spans="2:38" ht="18" x14ac:dyDescent="0.45"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</row>
    <row r="615" spans="2:38" ht="18" x14ac:dyDescent="0.45"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</row>
    <row r="616" spans="2:38" ht="18" x14ac:dyDescent="0.45"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</row>
    <row r="617" spans="2:38" ht="18" x14ac:dyDescent="0.45"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</row>
    <row r="618" spans="2:38" ht="18" x14ac:dyDescent="0.45"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</row>
    <row r="619" spans="2:38" ht="18" x14ac:dyDescent="0.45"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</row>
    <row r="620" spans="2:38" ht="18" x14ac:dyDescent="0.45"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</row>
    <row r="621" spans="2:38" ht="18" x14ac:dyDescent="0.45"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</row>
    <row r="622" spans="2:38" ht="18" x14ac:dyDescent="0.45"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</row>
    <row r="623" spans="2:38" ht="18" x14ac:dyDescent="0.45"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</row>
    <row r="624" spans="2:38" ht="18" x14ac:dyDescent="0.45"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</row>
    <row r="625" spans="2:38" ht="18" x14ac:dyDescent="0.45"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</row>
    <row r="626" spans="2:38" ht="18" x14ac:dyDescent="0.45"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</row>
    <row r="627" spans="2:38" ht="18" x14ac:dyDescent="0.45"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</row>
    <row r="628" spans="2:38" ht="18" x14ac:dyDescent="0.45"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</row>
    <row r="629" spans="2:38" ht="18" x14ac:dyDescent="0.45"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</row>
    <row r="630" spans="2:38" ht="18" x14ac:dyDescent="0.45"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</row>
    <row r="631" spans="2:38" ht="18" x14ac:dyDescent="0.45"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</row>
    <row r="632" spans="2:38" ht="18" x14ac:dyDescent="0.45"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</row>
    <row r="633" spans="2:38" ht="18" x14ac:dyDescent="0.45"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</row>
    <row r="634" spans="2:38" ht="18" x14ac:dyDescent="0.45"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</row>
    <row r="635" spans="2:38" ht="18" x14ac:dyDescent="0.45"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</row>
    <row r="636" spans="2:38" ht="18" x14ac:dyDescent="0.45"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</row>
    <row r="637" spans="2:38" ht="18" x14ac:dyDescent="0.45"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</row>
    <row r="638" spans="2:38" ht="18" x14ac:dyDescent="0.45"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</row>
    <row r="639" spans="2:38" ht="18" x14ac:dyDescent="0.45"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</row>
    <row r="640" spans="2:38" ht="18" x14ac:dyDescent="0.45"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</row>
    <row r="641" spans="2:38" ht="18" x14ac:dyDescent="0.45"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</row>
    <row r="642" spans="2:38" ht="18" x14ac:dyDescent="0.45"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</row>
    <row r="643" spans="2:38" ht="18" x14ac:dyDescent="0.45"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</row>
    <row r="644" spans="2:38" ht="18" x14ac:dyDescent="0.45"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</row>
    <row r="645" spans="2:38" ht="18" x14ac:dyDescent="0.45"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</row>
    <row r="646" spans="2:38" ht="18" x14ac:dyDescent="0.45"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</row>
    <row r="647" spans="2:38" ht="18" x14ac:dyDescent="0.45"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</row>
    <row r="648" spans="2:38" ht="18" x14ac:dyDescent="0.45"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</row>
    <row r="649" spans="2:38" ht="18" x14ac:dyDescent="0.45"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</row>
    <row r="650" spans="2:38" ht="18" x14ac:dyDescent="0.45"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</row>
    <row r="651" spans="2:38" ht="18" x14ac:dyDescent="0.45"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</row>
    <row r="652" spans="2:38" ht="18" x14ac:dyDescent="0.45"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</row>
    <row r="653" spans="2:38" ht="18" x14ac:dyDescent="0.45"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</row>
    <row r="654" spans="2:38" ht="18" x14ac:dyDescent="0.45"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</row>
    <row r="655" spans="2:38" ht="18" x14ac:dyDescent="0.45"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</row>
    <row r="656" spans="2:38" ht="18" x14ac:dyDescent="0.45"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</row>
    <row r="657" spans="2:38" ht="18" x14ac:dyDescent="0.45"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</row>
    <row r="658" spans="2:38" ht="18" x14ac:dyDescent="0.45"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</row>
    <row r="659" spans="2:38" ht="18" x14ac:dyDescent="0.45"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</row>
    <row r="660" spans="2:38" ht="18" x14ac:dyDescent="0.45"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</row>
    <row r="661" spans="2:38" ht="18" x14ac:dyDescent="0.45"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</row>
    <row r="662" spans="2:38" ht="18" x14ac:dyDescent="0.45"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</row>
    <row r="663" spans="2:38" ht="18" x14ac:dyDescent="0.45"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</row>
    <row r="664" spans="2:38" ht="18" x14ac:dyDescent="0.45"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</row>
    <row r="665" spans="2:38" ht="18" x14ac:dyDescent="0.45"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</row>
    <row r="666" spans="2:38" ht="18" x14ac:dyDescent="0.45"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</row>
    <row r="667" spans="2:38" ht="18" x14ac:dyDescent="0.45"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</row>
    <row r="668" spans="2:38" ht="18" x14ac:dyDescent="0.45"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</row>
    <row r="669" spans="2:38" ht="18" x14ac:dyDescent="0.45"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</row>
    <row r="670" spans="2:38" ht="18" x14ac:dyDescent="0.45"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</row>
    <row r="671" spans="2:38" ht="18" x14ac:dyDescent="0.45"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</row>
    <row r="672" spans="2:38" ht="18" x14ac:dyDescent="0.45"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</row>
    <row r="673" spans="2:38" ht="18" x14ac:dyDescent="0.45"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</row>
    <row r="674" spans="2:38" ht="18" x14ac:dyDescent="0.45"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</row>
    <row r="675" spans="2:38" ht="18" x14ac:dyDescent="0.45"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</row>
    <row r="676" spans="2:38" ht="18" x14ac:dyDescent="0.45"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</row>
    <row r="677" spans="2:38" ht="18" x14ac:dyDescent="0.45"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</row>
    <row r="678" spans="2:38" ht="18" x14ac:dyDescent="0.45"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</row>
    <row r="679" spans="2:38" ht="18" x14ac:dyDescent="0.45"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</row>
    <row r="680" spans="2:38" ht="18" x14ac:dyDescent="0.45"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</row>
    <row r="681" spans="2:38" ht="18" x14ac:dyDescent="0.45"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</row>
    <row r="682" spans="2:38" ht="18" x14ac:dyDescent="0.45"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</row>
    <row r="683" spans="2:38" ht="18" x14ac:dyDescent="0.45"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</row>
    <row r="684" spans="2:38" ht="18" x14ac:dyDescent="0.45"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</row>
    <row r="685" spans="2:38" ht="18" x14ac:dyDescent="0.45"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</row>
    <row r="686" spans="2:38" ht="18" x14ac:dyDescent="0.45"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</row>
    <row r="687" spans="2:38" ht="18" x14ac:dyDescent="0.45"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</row>
    <row r="688" spans="2:38" ht="18" x14ac:dyDescent="0.45"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</row>
    <row r="689" spans="2:38" ht="18" x14ac:dyDescent="0.45"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</row>
    <row r="690" spans="2:38" ht="18" x14ac:dyDescent="0.45"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</row>
    <row r="691" spans="2:38" ht="18" x14ac:dyDescent="0.45"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</row>
    <row r="692" spans="2:38" ht="18" x14ac:dyDescent="0.45"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</row>
    <row r="693" spans="2:38" ht="18" x14ac:dyDescent="0.45"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</row>
    <row r="694" spans="2:38" ht="18" x14ac:dyDescent="0.45"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</row>
    <row r="695" spans="2:38" ht="18" x14ac:dyDescent="0.45"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</row>
    <row r="696" spans="2:38" ht="18" x14ac:dyDescent="0.45"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</row>
    <row r="697" spans="2:38" ht="18" x14ac:dyDescent="0.45"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</row>
    <row r="698" spans="2:38" ht="18" x14ac:dyDescent="0.45"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</row>
    <row r="699" spans="2:38" ht="18" x14ac:dyDescent="0.45"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</row>
    <row r="700" spans="2:38" ht="18" x14ac:dyDescent="0.45"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</row>
    <row r="701" spans="2:38" ht="18" x14ac:dyDescent="0.45"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</row>
    <row r="702" spans="2:38" ht="18" x14ac:dyDescent="0.45"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</row>
    <row r="703" spans="2:38" ht="18" x14ac:dyDescent="0.45"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</row>
    <row r="704" spans="2:38" ht="18" x14ac:dyDescent="0.45"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</row>
    <row r="705" spans="2:38" ht="18" x14ac:dyDescent="0.45"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</row>
    <row r="706" spans="2:38" ht="18" x14ac:dyDescent="0.45"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</row>
    <row r="707" spans="2:38" ht="18" x14ac:dyDescent="0.45"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</row>
    <row r="708" spans="2:38" ht="18" x14ac:dyDescent="0.45"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</row>
    <row r="709" spans="2:38" ht="18" x14ac:dyDescent="0.45"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</row>
    <row r="710" spans="2:38" ht="18" x14ac:dyDescent="0.45"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</row>
    <row r="711" spans="2:38" ht="18" x14ac:dyDescent="0.45"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</row>
    <row r="712" spans="2:38" ht="18" x14ac:dyDescent="0.45"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</row>
    <row r="713" spans="2:38" ht="18" x14ac:dyDescent="0.45"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</row>
    <row r="714" spans="2:38" ht="18" x14ac:dyDescent="0.45"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</row>
    <row r="715" spans="2:38" ht="18" x14ac:dyDescent="0.45"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</row>
    <row r="716" spans="2:38" ht="18" x14ac:dyDescent="0.45"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</row>
    <row r="717" spans="2:38" ht="18" x14ac:dyDescent="0.45"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</row>
    <row r="718" spans="2:38" ht="18" x14ac:dyDescent="0.45"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</row>
    <row r="719" spans="2:38" ht="18" x14ac:dyDescent="0.45"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</row>
    <row r="720" spans="2:38" ht="18" x14ac:dyDescent="0.45"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</row>
    <row r="721" spans="2:38" ht="18" x14ac:dyDescent="0.45"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</row>
    <row r="722" spans="2:38" ht="18" x14ac:dyDescent="0.45"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</row>
    <row r="723" spans="2:38" ht="18" x14ac:dyDescent="0.45"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</row>
    <row r="724" spans="2:38" ht="18" x14ac:dyDescent="0.45"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</row>
    <row r="725" spans="2:38" ht="18" x14ac:dyDescent="0.45"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</row>
    <row r="726" spans="2:38" ht="18" x14ac:dyDescent="0.45"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</row>
    <row r="727" spans="2:38" ht="18" x14ac:dyDescent="0.45"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</row>
    <row r="728" spans="2:38" ht="18" x14ac:dyDescent="0.45"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</row>
    <row r="729" spans="2:38" ht="18" x14ac:dyDescent="0.45"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</row>
    <row r="730" spans="2:38" ht="18" x14ac:dyDescent="0.45"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</row>
    <row r="731" spans="2:38" ht="18" x14ac:dyDescent="0.45"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</row>
    <row r="732" spans="2:38" ht="18" x14ac:dyDescent="0.45"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</row>
    <row r="733" spans="2:38" ht="18" x14ac:dyDescent="0.45"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</row>
    <row r="734" spans="2:38" ht="18" x14ac:dyDescent="0.45"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</row>
    <row r="735" spans="2:38" ht="18" x14ac:dyDescent="0.45"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</row>
    <row r="736" spans="2:38" ht="18" x14ac:dyDescent="0.45"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</row>
    <row r="737" spans="2:38" ht="18" x14ac:dyDescent="0.45"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</row>
    <row r="738" spans="2:38" ht="18" x14ac:dyDescent="0.45"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</row>
    <row r="739" spans="2:38" ht="18" x14ac:dyDescent="0.45"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</row>
    <row r="740" spans="2:38" ht="18" x14ac:dyDescent="0.45"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</row>
    <row r="741" spans="2:38" ht="18" x14ac:dyDescent="0.45"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</row>
    <row r="742" spans="2:38" ht="18" x14ac:dyDescent="0.45"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</row>
    <row r="743" spans="2:38" ht="18" x14ac:dyDescent="0.45"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</row>
    <row r="744" spans="2:38" ht="18" x14ac:dyDescent="0.45"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</row>
    <row r="745" spans="2:38" ht="18" x14ac:dyDescent="0.45"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</row>
    <row r="746" spans="2:38" ht="18" x14ac:dyDescent="0.45"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</row>
    <row r="747" spans="2:38" ht="18" x14ac:dyDescent="0.45"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</row>
    <row r="748" spans="2:38" ht="18" x14ac:dyDescent="0.45"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</row>
    <row r="749" spans="2:38" ht="18" x14ac:dyDescent="0.45"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</row>
    <row r="750" spans="2:38" ht="18" x14ac:dyDescent="0.45"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</row>
    <row r="751" spans="2:38" ht="18" x14ac:dyDescent="0.45"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</row>
    <row r="752" spans="2:38" ht="18" x14ac:dyDescent="0.45"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</row>
    <row r="753" spans="2:38" ht="18" x14ac:dyDescent="0.45"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</row>
    <row r="754" spans="2:38" ht="18" x14ac:dyDescent="0.45"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</row>
    <row r="755" spans="2:38" ht="18" x14ac:dyDescent="0.45"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</row>
    <row r="756" spans="2:38" ht="18" x14ac:dyDescent="0.45"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</row>
    <row r="757" spans="2:38" ht="18" x14ac:dyDescent="0.45"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</row>
    <row r="758" spans="2:38" ht="18" x14ac:dyDescent="0.45"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</row>
    <row r="759" spans="2:38" ht="18" x14ac:dyDescent="0.45"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</row>
    <row r="760" spans="2:38" ht="18" x14ac:dyDescent="0.45"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</row>
    <row r="761" spans="2:38" ht="18" x14ac:dyDescent="0.45"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</row>
    <row r="762" spans="2:38" ht="18" x14ac:dyDescent="0.45"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</row>
    <row r="763" spans="2:38" ht="18" x14ac:dyDescent="0.45"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</row>
    <row r="764" spans="2:38" ht="18" x14ac:dyDescent="0.45"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</row>
    <row r="765" spans="2:38" ht="18" x14ac:dyDescent="0.45"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</row>
    <row r="766" spans="2:38" ht="18" x14ac:dyDescent="0.45"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</row>
    <row r="767" spans="2:38" ht="18" x14ac:dyDescent="0.45"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</row>
    <row r="768" spans="2:38" ht="18" x14ac:dyDescent="0.45"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</row>
    <row r="769" spans="2:38" ht="18" x14ac:dyDescent="0.45"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</row>
    <row r="770" spans="2:38" ht="18" x14ac:dyDescent="0.45"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</row>
    <row r="771" spans="2:38" ht="18" x14ac:dyDescent="0.45"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</row>
    <row r="772" spans="2:38" ht="18" x14ac:dyDescent="0.45"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</row>
    <row r="773" spans="2:38" ht="18" x14ac:dyDescent="0.45"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</row>
    <row r="774" spans="2:38" ht="18" x14ac:dyDescent="0.45"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</row>
    <row r="775" spans="2:38" ht="18" x14ac:dyDescent="0.45"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</row>
    <row r="776" spans="2:38" ht="18" x14ac:dyDescent="0.45"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</row>
    <row r="777" spans="2:38" ht="18" x14ac:dyDescent="0.45"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</row>
    <row r="778" spans="2:38" ht="18" x14ac:dyDescent="0.45"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</row>
    <row r="779" spans="2:38" ht="18" x14ac:dyDescent="0.45"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</row>
    <row r="780" spans="2:38" ht="18" x14ac:dyDescent="0.45"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</row>
    <row r="781" spans="2:38" ht="18" x14ac:dyDescent="0.45"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</row>
    <row r="782" spans="2:38" ht="18" x14ac:dyDescent="0.45"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</row>
    <row r="783" spans="2:38" ht="18" x14ac:dyDescent="0.45"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</row>
    <row r="784" spans="2:38" ht="18" x14ac:dyDescent="0.45"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</row>
    <row r="785" spans="2:38" ht="18" x14ac:dyDescent="0.45"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</row>
    <row r="786" spans="2:38" ht="18" x14ac:dyDescent="0.45"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</row>
    <row r="787" spans="2:38" ht="18" x14ac:dyDescent="0.45"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</row>
    <row r="788" spans="2:38" ht="18" x14ac:dyDescent="0.45"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</row>
    <row r="789" spans="2:38" ht="18" x14ac:dyDescent="0.45"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</row>
    <row r="790" spans="2:38" ht="18" x14ac:dyDescent="0.45"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</row>
    <row r="791" spans="2:38" ht="18" x14ac:dyDescent="0.45"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</row>
    <row r="792" spans="2:38" ht="18" x14ac:dyDescent="0.45"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</row>
    <row r="793" spans="2:38" ht="18" x14ac:dyDescent="0.45"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</row>
    <row r="794" spans="2:38" ht="18" x14ac:dyDescent="0.45"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</row>
    <row r="795" spans="2:38" ht="18" x14ac:dyDescent="0.45"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</row>
    <row r="796" spans="2:38" ht="18" x14ac:dyDescent="0.45"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</row>
    <row r="797" spans="2:38" ht="18" x14ac:dyDescent="0.45"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</row>
    <row r="798" spans="2:38" ht="18" x14ac:dyDescent="0.45"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</row>
    <row r="799" spans="2:38" ht="18" x14ac:dyDescent="0.45"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</row>
    <row r="800" spans="2:38" ht="18" x14ac:dyDescent="0.45"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</row>
    <row r="801" spans="2:38" ht="18" x14ac:dyDescent="0.45"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</row>
    <row r="802" spans="2:38" ht="18" x14ac:dyDescent="0.45"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</row>
    <row r="803" spans="2:38" ht="18" x14ac:dyDescent="0.45"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</row>
    <row r="804" spans="2:38" ht="18" x14ac:dyDescent="0.45"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</row>
    <row r="805" spans="2:38" ht="18" x14ac:dyDescent="0.45"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</row>
    <row r="806" spans="2:38" ht="18" x14ac:dyDescent="0.45"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</row>
    <row r="807" spans="2:38" ht="18" x14ac:dyDescent="0.45"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</row>
    <row r="808" spans="2:38" ht="18" x14ac:dyDescent="0.45"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</row>
    <row r="809" spans="2:38" ht="18" x14ac:dyDescent="0.45"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</row>
    <row r="810" spans="2:38" ht="18" x14ac:dyDescent="0.45"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</row>
    <row r="811" spans="2:38" ht="18" x14ac:dyDescent="0.45"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</row>
    <row r="812" spans="2:38" ht="18" x14ac:dyDescent="0.45"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</row>
    <row r="813" spans="2:38" ht="18" x14ac:dyDescent="0.45"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</row>
    <row r="814" spans="2:38" ht="18" x14ac:dyDescent="0.45"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</row>
    <row r="815" spans="2:38" ht="18" x14ac:dyDescent="0.45"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</row>
    <row r="816" spans="2:38" ht="18" x14ac:dyDescent="0.45"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</row>
    <row r="817" spans="2:38" ht="18" x14ac:dyDescent="0.45"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</row>
    <row r="818" spans="2:38" ht="18" x14ac:dyDescent="0.45"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</row>
    <row r="819" spans="2:38" ht="18" x14ac:dyDescent="0.45"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</row>
    <row r="820" spans="2:38" ht="18" x14ac:dyDescent="0.45"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</row>
    <row r="821" spans="2:38" ht="18" x14ac:dyDescent="0.45"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</row>
    <row r="822" spans="2:38" ht="18" x14ac:dyDescent="0.45"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</row>
    <row r="823" spans="2:38" ht="18" x14ac:dyDescent="0.45"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</row>
    <row r="824" spans="2:38" ht="18" x14ac:dyDescent="0.45"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</row>
    <row r="825" spans="2:38" ht="18" x14ac:dyDescent="0.45"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</row>
    <row r="826" spans="2:38" ht="18" x14ac:dyDescent="0.45"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</row>
    <row r="827" spans="2:38" ht="18" x14ac:dyDescent="0.45"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</row>
    <row r="828" spans="2:38" ht="18" x14ac:dyDescent="0.45"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</row>
    <row r="829" spans="2:38" ht="18" x14ac:dyDescent="0.45"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</row>
    <row r="830" spans="2:38" ht="18" x14ac:dyDescent="0.45"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</row>
    <row r="831" spans="2:38" ht="18" x14ac:dyDescent="0.45"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</row>
    <row r="832" spans="2:38" ht="18" x14ac:dyDescent="0.45"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</row>
    <row r="833" spans="2:38" ht="18" x14ac:dyDescent="0.45"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</row>
    <row r="834" spans="2:38" ht="18" x14ac:dyDescent="0.45"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</row>
    <row r="835" spans="2:38" ht="18" x14ac:dyDescent="0.45"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</row>
    <row r="836" spans="2:38" ht="18" x14ac:dyDescent="0.45"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</row>
    <row r="837" spans="2:38" ht="18" x14ac:dyDescent="0.45"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</row>
    <row r="838" spans="2:38" ht="18" x14ac:dyDescent="0.45"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</row>
    <row r="839" spans="2:38" ht="18" x14ac:dyDescent="0.45"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</row>
    <row r="840" spans="2:38" ht="18" x14ac:dyDescent="0.45"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</row>
    <row r="841" spans="2:38" ht="18" x14ac:dyDescent="0.45"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</row>
    <row r="842" spans="2:38" ht="18" x14ac:dyDescent="0.45"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</row>
    <row r="843" spans="2:38" ht="18" x14ac:dyDescent="0.45"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</row>
    <row r="844" spans="2:38" ht="18" x14ac:dyDescent="0.45"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</row>
    <row r="845" spans="2:38" ht="18" x14ac:dyDescent="0.45"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</row>
    <row r="846" spans="2:38" ht="18" x14ac:dyDescent="0.45"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</row>
    <row r="847" spans="2:38" ht="18" x14ac:dyDescent="0.45"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</row>
    <row r="848" spans="2:38" ht="18" x14ac:dyDescent="0.45"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</row>
    <row r="849" spans="2:38" ht="18" x14ac:dyDescent="0.45"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</row>
    <row r="850" spans="2:38" ht="18" x14ac:dyDescent="0.45"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</row>
    <row r="851" spans="2:38" ht="18" x14ac:dyDescent="0.45"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</row>
    <row r="852" spans="2:38" ht="18" x14ac:dyDescent="0.45"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</row>
    <row r="853" spans="2:38" ht="18" x14ac:dyDescent="0.45"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</row>
    <row r="854" spans="2:38" ht="18" x14ac:dyDescent="0.45"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</row>
    <row r="855" spans="2:38" ht="18" x14ac:dyDescent="0.45"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</row>
    <row r="856" spans="2:38" ht="18" x14ac:dyDescent="0.45"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</row>
    <row r="857" spans="2:38" ht="18" x14ac:dyDescent="0.45"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</row>
    <row r="858" spans="2:38" ht="18" x14ac:dyDescent="0.45"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</row>
    <row r="859" spans="2:38" ht="18" x14ac:dyDescent="0.45"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</row>
    <row r="860" spans="2:38" ht="18" x14ac:dyDescent="0.45"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</row>
    <row r="861" spans="2:38" ht="18" x14ac:dyDescent="0.45"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</row>
    <row r="862" spans="2:38" ht="18" x14ac:dyDescent="0.45"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</row>
    <row r="863" spans="2:38" ht="18" x14ac:dyDescent="0.45"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</row>
    <row r="864" spans="2:38" ht="18" x14ac:dyDescent="0.45"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</row>
    <row r="865" spans="2:38" ht="18" x14ac:dyDescent="0.45"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</row>
    <row r="866" spans="2:38" ht="18" x14ac:dyDescent="0.45"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</row>
    <row r="867" spans="2:38" ht="18" x14ac:dyDescent="0.45"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</row>
    <row r="868" spans="2:38" ht="18" x14ac:dyDescent="0.45"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</row>
    <row r="869" spans="2:38" ht="18" x14ac:dyDescent="0.45"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</row>
    <row r="870" spans="2:38" ht="18" x14ac:dyDescent="0.45"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</row>
    <row r="871" spans="2:38" ht="18" x14ac:dyDescent="0.45"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</row>
    <row r="872" spans="2:38" ht="18" x14ac:dyDescent="0.45"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</row>
    <row r="873" spans="2:38" ht="18" x14ac:dyDescent="0.45"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</row>
    <row r="874" spans="2:38" ht="18" x14ac:dyDescent="0.45"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</row>
    <row r="875" spans="2:38" ht="18" x14ac:dyDescent="0.45"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</row>
    <row r="876" spans="2:38" ht="18" x14ac:dyDescent="0.45"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</row>
    <row r="877" spans="2:38" ht="18" x14ac:dyDescent="0.45"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</row>
    <row r="878" spans="2:38" ht="18" x14ac:dyDescent="0.45"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</row>
    <row r="879" spans="2:38" ht="18" x14ac:dyDescent="0.45"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</row>
    <row r="880" spans="2:38" ht="18" x14ac:dyDescent="0.45"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</row>
    <row r="881" spans="2:38" ht="18" x14ac:dyDescent="0.45"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</row>
    <row r="882" spans="2:38" ht="18" x14ac:dyDescent="0.45"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</row>
    <row r="883" spans="2:38" ht="18" x14ac:dyDescent="0.45"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</row>
    <row r="884" spans="2:38" ht="18" x14ac:dyDescent="0.45"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</row>
    <row r="885" spans="2:38" ht="18" x14ac:dyDescent="0.45"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</row>
    <row r="886" spans="2:38" ht="18" x14ac:dyDescent="0.45"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</row>
    <row r="887" spans="2:38" ht="18" x14ac:dyDescent="0.45"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</row>
    <row r="888" spans="2:38" ht="18" x14ac:dyDescent="0.45"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</row>
    <row r="889" spans="2:38" ht="18" x14ac:dyDescent="0.45"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</row>
    <row r="890" spans="2:38" ht="18" x14ac:dyDescent="0.45"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</row>
    <row r="891" spans="2:38" ht="18" x14ac:dyDescent="0.45"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</row>
    <row r="892" spans="2:38" ht="18" x14ac:dyDescent="0.45"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</row>
    <row r="893" spans="2:38" ht="18" x14ac:dyDescent="0.45"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</row>
    <row r="894" spans="2:38" ht="18" x14ac:dyDescent="0.45"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</row>
    <row r="895" spans="2:38" ht="18" x14ac:dyDescent="0.45"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</row>
    <row r="896" spans="2:38" ht="18" x14ac:dyDescent="0.45"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</row>
    <row r="897" spans="2:38" ht="18" x14ac:dyDescent="0.45"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</row>
    <row r="898" spans="2:38" ht="18" x14ac:dyDescent="0.45"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</row>
    <row r="899" spans="2:38" ht="18" x14ac:dyDescent="0.45"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</row>
    <row r="900" spans="2:38" ht="18" x14ac:dyDescent="0.45"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</row>
    <row r="901" spans="2:38" ht="18" x14ac:dyDescent="0.45"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</row>
    <row r="902" spans="2:38" ht="18" x14ac:dyDescent="0.45"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</row>
    <row r="903" spans="2:38" ht="18" x14ac:dyDescent="0.45"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</row>
    <row r="904" spans="2:38" ht="18" x14ac:dyDescent="0.45"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</row>
    <row r="905" spans="2:38" ht="18" x14ac:dyDescent="0.45"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</row>
    <row r="906" spans="2:38" ht="18" x14ac:dyDescent="0.45"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</row>
    <row r="907" spans="2:38" ht="18" x14ac:dyDescent="0.45"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</row>
    <row r="908" spans="2:38" ht="18" x14ac:dyDescent="0.45"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</row>
    <row r="909" spans="2:38" ht="18" x14ac:dyDescent="0.45"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</row>
    <row r="910" spans="2:38" ht="18" x14ac:dyDescent="0.45"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</row>
    <row r="911" spans="2:38" ht="18" x14ac:dyDescent="0.45"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</row>
    <row r="912" spans="2:38" ht="18" x14ac:dyDescent="0.45"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</row>
    <row r="913" spans="2:38" ht="18" x14ac:dyDescent="0.45"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</row>
    <row r="914" spans="2:38" ht="18" x14ac:dyDescent="0.45"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</row>
    <row r="915" spans="2:38" ht="18" x14ac:dyDescent="0.45"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</row>
    <row r="916" spans="2:38" ht="18" x14ac:dyDescent="0.45"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</row>
    <row r="917" spans="2:38" ht="18" x14ac:dyDescent="0.45"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</row>
    <row r="918" spans="2:38" ht="18" x14ac:dyDescent="0.45"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</row>
    <row r="919" spans="2:38" ht="18" x14ac:dyDescent="0.45"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</row>
    <row r="920" spans="2:38" ht="18" x14ac:dyDescent="0.45"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</row>
    <row r="921" spans="2:38" ht="18" x14ac:dyDescent="0.45"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</row>
    <row r="922" spans="2:38" ht="18" x14ac:dyDescent="0.45"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</row>
    <row r="923" spans="2:38" ht="18" x14ac:dyDescent="0.45"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</row>
    <row r="924" spans="2:38" ht="18" x14ac:dyDescent="0.45"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</row>
    <row r="925" spans="2:38" ht="18" x14ac:dyDescent="0.45"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</row>
    <row r="926" spans="2:38" ht="18" x14ac:dyDescent="0.45"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</row>
    <row r="927" spans="2:38" ht="18" x14ac:dyDescent="0.45"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</row>
    <row r="928" spans="2:38" ht="18" x14ac:dyDescent="0.45"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</row>
    <row r="929" spans="2:38" ht="18" x14ac:dyDescent="0.45"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</row>
    <row r="930" spans="2:38" ht="18" x14ac:dyDescent="0.45"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</row>
    <row r="931" spans="2:38" ht="18" x14ac:dyDescent="0.45"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</row>
    <row r="932" spans="2:38" ht="18" x14ac:dyDescent="0.45"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</row>
    <row r="933" spans="2:38" ht="18" x14ac:dyDescent="0.45"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</row>
    <row r="934" spans="2:38" ht="18" x14ac:dyDescent="0.45"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</row>
    <row r="935" spans="2:38" ht="18" x14ac:dyDescent="0.45"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</row>
    <row r="936" spans="2:38" ht="18" x14ac:dyDescent="0.45"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</row>
    <row r="937" spans="2:38" ht="18" x14ac:dyDescent="0.45"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</row>
    <row r="938" spans="2:38" ht="18" x14ac:dyDescent="0.45"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</row>
    <row r="939" spans="2:38" ht="18" x14ac:dyDescent="0.45"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</row>
    <row r="940" spans="2:38" ht="18" x14ac:dyDescent="0.45"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</row>
    <row r="941" spans="2:38" ht="18" x14ac:dyDescent="0.45"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</row>
    <row r="942" spans="2:38" ht="18" x14ac:dyDescent="0.45"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</row>
    <row r="943" spans="2:38" ht="18" x14ac:dyDescent="0.45"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</row>
    <row r="944" spans="2:38" ht="18" x14ac:dyDescent="0.45"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</row>
    <row r="945" spans="2:38" ht="18" x14ac:dyDescent="0.45"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</row>
    <row r="946" spans="2:38" ht="18" x14ac:dyDescent="0.45"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</row>
    <row r="947" spans="2:38" ht="18" x14ac:dyDescent="0.45"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</row>
    <row r="948" spans="2:38" ht="18" x14ac:dyDescent="0.45"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</row>
    <row r="949" spans="2:38" ht="18" x14ac:dyDescent="0.45"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</row>
    <row r="950" spans="2:38" ht="18" x14ac:dyDescent="0.45"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</row>
    <row r="951" spans="2:38" ht="18" x14ac:dyDescent="0.45"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</row>
    <row r="952" spans="2:38" ht="18" x14ac:dyDescent="0.45"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</row>
    <row r="953" spans="2:38" ht="18" x14ac:dyDescent="0.45"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</row>
    <row r="954" spans="2:38" ht="18" x14ac:dyDescent="0.45"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</row>
    <row r="955" spans="2:38" ht="18" x14ac:dyDescent="0.45"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</row>
    <row r="956" spans="2:38" ht="18" x14ac:dyDescent="0.45"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</row>
    <row r="957" spans="2:38" ht="18" x14ac:dyDescent="0.45"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</row>
    <row r="958" spans="2:38" ht="18" x14ac:dyDescent="0.45"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</row>
    <row r="959" spans="2:38" ht="18" x14ac:dyDescent="0.45"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</row>
    <row r="960" spans="2:38" ht="18" x14ac:dyDescent="0.45"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</row>
    <row r="961" spans="2:38" ht="18" x14ac:dyDescent="0.45"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</row>
    <row r="962" spans="2:38" ht="18" x14ac:dyDescent="0.45"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</row>
    <row r="963" spans="2:38" ht="18" x14ac:dyDescent="0.45"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</row>
    <row r="964" spans="2:38" ht="18" x14ac:dyDescent="0.45"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</row>
    <row r="965" spans="2:38" ht="18" x14ac:dyDescent="0.45"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</row>
    <row r="966" spans="2:38" ht="18" x14ac:dyDescent="0.45"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</row>
    <row r="967" spans="2:38" ht="18" x14ac:dyDescent="0.45"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</row>
    <row r="968" spans="2:38" ht="18" x14ac:dyDescent="0.45"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</row>
    <row r="969" spans="2:38" ht="18" x14ac:dyDescent="0.45"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</row>
    <row r="970" spans="2:38" ht="18" x14ac:dyDescent="0.45"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</row>
    <row r="971" spans="2:38" ht="18" x14ac:dyDescent="0.45"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</row>
    <row r="972" spans="2:38" ht="18" x14ac:dyDescent="0.45"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</row>
    <row r="973" spans="2:38" ht="18" x14ac:dyDescent="0.45"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</row>
    <row r="974" spans="2:38" ht="18" x14ac:dyDescent="0.45"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</row>
    <row r="975" spans="2:38" ht="18" x14ac:dyDescent="0.45"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</row>
    <row r="976" spans="2:38" ht="18" x14ac:dyDescent="0.45"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</row>
    <row r="977" spans="2:38" ht="18" x14ac:dyDescent="0.45"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</row>
    <row r="978" spans="2:38" ht="18" x14ac:dyDescent="0.45"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</row>
    <row r="979" spans="2:38" ht="18" x14ac:dyDescent="0.45"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</row>
    <row r="980" spans="2:38" ht="18" x14ac:dyDescent="0.45"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</row>
    <row r="981" spans="2:38" ht="18" x14ac:dyDescent="0.45"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</row>
    <row r="982" spans="2:38" ht="18" x14ac:dyDescent="0.45"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</row>
    <row r="983" spans="2:38" ht="18" x14ac:dyDescent="0.45"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</row>
    <row r="984" spans="2:38" ht="18" x14ac:dyDescent="0.45"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</row>
    <row r="985" spans="2:38" ht="18" x14ac:dyDescent="0.45"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</row>
    <row r="986" spans="2:38" ht="18" x14ac:dyDescent="0.45"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</row>
    <row r="987" spans="2:38" ht="18" x14ac:dyDescent="0.45"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</row>
    <row r="988" spans="2:38" ht="18" x14ac:dyDescent="0.45"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</row>
    <row r="989" spans="2:38" ht="18" x14ac:dyDescent="0.45"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</row>
    <row r="990" spans="2:38" ht="18" x14ac:dyDescent="0.45"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</row>
    <row r="991" spans="2:38" ht="18" x14ac:dyDescent="0.45"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</row>
    <row r="992" spans="2:38" ht="18" x14ac:dyDescent="0.45"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</row>
    <row r="993" spans="2:38" ht="18" x14ac:dyDescent="0.45"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</row>
    <row r="994" spans="2:38" ht="18" x14ac:dyDescent="0.45"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</row>
    <row r="995" spans="2:38" ht="18" x14ac:dyDescent="0.45"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</row>
    <row r="996" spans="2:38" ht="18" x14ac:dyDescent="0.45"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</row>
    <row r="997" spans="2:38" ht="18" x14ac:dyDescent="0.45"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</row>
    <row r="998" spans="2:38" ht="18" x14ac:dyDescent="0.45"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</row>
    <row r="999" spans="2:38" ht="18" x14ac:dyDescent="0.45"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</row>
    <row r="1000" spans="2:38" ht="18" x14ac:dyDescent="0.45"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</row>
  </sheetData>
  <mergeCells count="9">
    <mergeCell ref="R8:R9"/>
    <mergeCell ref="S8:AD8"/>
    <mergeCell ref="AF8:AL8"/>
    <mergeCell ref="B8:B9"/>
    <mergeCell ref="C8:C9"/>
    <mergeCell ref="D8:G8"/>
    <mergeCell ref="H8:I8"/>
    <mergeCell ref="J8:L8"/>
    <mergeCell ref="M8:Q8"/>
  </mergeCells>
  <phoneticPr fontId="2"/>
  <dataValidations count="1">
    <dataValidation type="list" allowBlank="1" showInputMessage="1" showErrorMessage="1" sqref="D10:D11">
      <formula1>"A,A-DR1,A-DR2,B,B-DR1,B-DR2,C,C-DR1,C-DR2,D,D-DR1,D-DR2"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調査票を読込">
          <controlPr defaultSize="0" autoLine="0" r:id="rId5">
            <anchor moveWithCells="1">
              <from>
                <xdr:col>16</xdr:col>
                <xdr:colOff>91440</xdr:colOff>
                <xdr:row>2</xdr:row>
                <xdr:rowOff>22860</xdr:rowOff>
              </from>
              <to>
                <xdr:col>17</xdr:col>
                <xdr:colOff>815340</xdr:colOff>
                <xdr:row>3</xdr:row>
                <xdr:rowOff>198120</xdr:rowOff>
              </to>
            </anchor>
          </controlPr>
        </control>
      </mc:Choice>
      <mc:Fallback>
        <control shapeId="2050" r:id="rId4" name="調査票を読込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B7:V11"/>
  <sheetViews>
    <sheetView zoomScale="85" zoomScaleNormal="85" workbookViewId="0"/>
  </sheetViews>
  <sheetFormatPr defaultRowHeight="18" x14ac:dyDescent="0.45"/>
  <cols>
    <col min="2" max="2" width="4.296875" bestFit="1" customWidth="1"/>
    <col min="3" max="3" width="10.5" bestFit="1" customWidth="1"/>
    <col min="4" max="4" width="11" bestFit="1" customWidth="1"/>
    <col min="5" max="5" width="9.5" bestFit="1" customWidth="1"/>
    <col min="6" max="6" width="16.19921875" bestFit="1" customWidth="1"/>
    <col min="7" max="7" width="19" bestFit="1" customWidth="1"/>
    <col min="8" max="9" width="8.5" bestFit="1" customWidth="1"/>
    <col min="10" max="11" width="9.5" bestFit="1" customWidth="1"/>
    <col min="12" max="12" width="16.19921875" bestFit="1" customWidth="1"/>
    <col min="13" max="13" width="19" customWidth="1"/>
    <col min="14" max="17" width="9.5" bestFit="1" customWidth="1"/>
    <col min="18" max="18" width="16.19921875" bestFit="1" customWidth="1"/>
    <col min="19" max="19" width="19" bestFit="1" customWidth="1"/>
    <col min="20" max="21" width="8.5" bestFit="1" customWidth="1"/>
    <col min="22" max="22" width="20.3984375" customWidth="1"/>
  </cols>
  <sheetData>
    <row r="7" spans="2:22" ht="18" customHeight="1" x14ac:dyDescent="0.45">
      <c r="B7" s="98" t="s">
        <v>36</v>
      </c>
      <c r="C7" s="98" t="s">
        <v>37</v>
      </c>
      <c r="D7" s="99" t="s">
        <v>43</v>
      </c>
      <c r="E7" s="99"/>
      <c r="F7" s="99"/>
      <c r="G7" s="99"/>
      <c r="H7" s="99"/>
      <c r="I7" s="99"/>
      <c r="J7" s="99"/>
      <c r="K7" s="99"/>
      <c r="L7" s="99"/>
      <c r="M7" s="99"/>
      <c r="N7" s="99"/>
      <c r="O7" s="99"/>
      <c r="P7" s="99"/>
      <c r="Q7" s="99"/>
      <c r="R7" s="99"/>
      <c r="S7" s="99"/>
      <c r="T7" s="99"/>
      <c r="U7" s="99"/>
      <c r="V7" s="92" t="s">
        <v>266</v>
      </c>
    </row>
    <row r="8" spans="2:22" ht="18" customHeight="1" x14ac:dyDescent="0.45">
      <c r="B8" s="98"/>
      <c r="C8" s="98"/>
      <c r="D8" s="94" t="s">
        <v>258</v>
      </c>
      <c r="E8" s="95"/>
      <c r="F8" s="95"/>
      <c r="G8" s="95"/>
      <c r="H8" s="95"/>
      <c r="I8" s="95"/>
      <c r="J8" s="98" t="s">
        <v>259</v>
      </c>
      <c r="K8" s="98"/>
      <c r="L8" s="98"/>
      <c r="M8" s="98"/>
      <c r="N8" s="98"/>
      <c r="O8" s="98"/>
      <c r="P8" s="98" t="s">
        <v>260</v>
      </c>
      <c r="Q8" s="98"/>
      <c r="R8" s="98"/>
      <c r="S8" s="98"/>
      <c r="T8" s="98"/>
      <c r="U8" s="98"/>
      <c r="V8" s="102"/>
    </row>
    <row r="9" spans="2:22" x14ac:dyDescent="0.45">
      <c r="B9" s="98"/>
      <c r="C9" s="98"/>
      <c r="D9" s="70" t="s">
        <v>256</v>
      </c>
      <c r="E9" s="70" t="s">
        <v>200</v>
      </c>
      <c r="F9" s="70" t="s">
        <v>264</v>
      </c>
      <c r="G9" s="77" t="s">
        <v>265</v>
      </c>
      <c r="H9" s="77" t="s">
        <v>263</v>
      </c>
      <c r="I9" s="70" t="s">
        <v>262</v>
      </c>
      <c r="J9" s="76" t="s">
        <v>234</v>
      </c>
      <c r="K9" s="76" t="s">
        <v>200</v>
      </c>
      <c r="L9" s="76" t="s">
        <v>264</v>
      </c>
      <c r="M9" s="77" t="s">
        <v>265</v>
      </c>
      <c r="N9" s="77" t="s">
        <v>261</v>
      </c>
      <c r="O9" s="77" t="s">
        <v>262</v>
      </c>
      <c r="P9" s="70" t="s">
        <v>256</v>
      </c>
      <c r="Q9" s="70" t="s">
        <v>200</v>
      </c>
      <c r="R9" s="70" t="s">
        <v>264</v>
      </c>
      <c r="S9" s="77" t="s">
        <v>265</v>
      </c>
      <c r="T9" s="77" t="s">
        <v>261</v>
      </c>
      <c r="U9" s="77" t="s">
        <v>262</v>
      </c>
      <c r="V9" s="103"/>
    </row>
    <row r="10" spans="2:22" hidden="1" x14ac:dyDescent="0.45">
      <c r="B10" s="31"/>
      <c r="C10" s="31"/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9"/>
    </row>
    <row r="11" spans="2:22" x14ac:dyDescent="0.45">
      <c r="B11" s="31">
        <v>1</v>
      </c>
      <c r="C11" s="31" t="s">
        <v>220</v>
      </c>
      <c r="D11" s="78">
        <v>2014694.8800000001</v>
      </c>
      <c r="E11" s="78">
        <v>425911.2</v>
      </c>
      <c r="F11" s="78">
        <v>144154.56000000003</v>
      </c>
      <c r="G11" s="78">
        <v>180000.48</v>
      </c>
      <c r="H11" s="78">
        <v>2197.0080000000003</v>
      </c>
      <c r="I11" s="78">
        <v>1907.9280000000003</v>
      </c>
      <c r="J11" s="78">
        <v>224400</v>
      </c>
      <c r="K11" s="78">
        <v>112199.99999999997</v>
      </c>
      <c r="L11" s="78">
        <v>22440</v>
      </c>
      <c r="M11" s="78">
        <v>71808</v>
      </c>
      <c r="N11" s="78">
        <v>11219.999999999998</v>
      </c>
      <c r="O11" s="78">
        <v>11219.999999999998</v>
      </c>
      <c r="P11" s="78">
        <v>788400</v>
      </c>
      <c r="Q11" s="78">
        <v>394200</v>
      </c>
      <c r="R11" s="78">
        <v>131400</v>
      </c>
      <c r="S11" s="78">
        <v>157680</v>
      </c>
      <c r="T11" s="78">
        <v>2628</v>
      </c>
      <c r="U11" s="78">
        <v>2628</v>
      </c>
      <c r="V11" s="79">
        <v>1920</v>
      </c>
    </row>
  </sheetData>
  <mergeCells count="7">
    <mergeCell ref="V7:V9"/>
    <mergeCell ref="B7:B9"/>
    <mergeCell ref="C7:C9"/>
    <mergeCell ref="D7:U7"/>
    <mergeCell ref="D8:I8"/>
    <mergeCell ref="P8:U8"/>
    <mergeCell ref="J8:O8"/>
  </mergeCells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E16"/>
  <sheetViews>
    <sheetView zoomScale="80" zoomScaleNormal="80" workbookViewId="0"/>
  </sheetViews>
  <sheetFormatPr defaultColWidth="8.69921875" defaultRowHeight="16.2" x14ac:dyDescent="0.45"/>
  <cols>
    <col min="1" max="2" width="8.69921875" style="12"/>
    <col min="3" max="3" width="44.19921875" style="12" customWidth="1"/>
    <col min="4" max="5" width="20.3984375" style="12" customWidth="1"/>
    <col min="6" max="6" width="18.3984375" style="12" customWidth="1"/>
    <col min="7" max="16384" width="8.69921875" style="12"/>
  </cols>
  <sheetData>
    <row r="3" spans="3:5" ht="19.2" x14ac:dyDescent="0.45">
      <c r="C3" s="15" t="s">
        <v>53</v>
      </c>
    </row>
    <row r="5" spans="3:5" x14ac:dyDescent="0.45">
      <c r="C5" s="16"/>
      <c r="D5" s="16" t="s">
        <v>51</v>
      </c>
      <c r="E5" s="16" t="s">
        <v>52</v>
      </c>
    </row>
    <row r="6" spans="3:5" x14ac:dyDescent="0.45">
      <c r="C6" s="13" t="s">
        <v>48</v>
      </c>
      <c r="D6" s="19">
        <v>0</v>
      </c>
      <c r="E6" s="19">
        <v>0</v>
      </c>
    </row>
    <row r="7" spans="3:5" x14ac:dyDescent="0.45">
      <c r="C7" s="13" t="s">
        <v>47</v>
      </c>
      <c r="D7" s="19">
        <v>0</v>
      </c>
      <c r="E7" s="19">
        <v>0</v>
      </c>
    </row>
    <row r="8" spans="3:5" x14ac:dyDescent="0.45">
      <c r="C8" s="16" t="s">
        <v>42</v>
      </c>
      <c r="D8" s="14">
        <f>SUM(D6:D7)</f>
        <v>0</v>
      </c>
      <c r="E8" s="14">
        <f>SUM(E6:E7)</f>
        <v>0</v>
      </c>
    </row>
    <row r="9" spans="3:5" x14ac:dyDescent="0.45">
      <c r="D9" s="17"/>
      <c r="E9" s="17"/>
    </row>
    <row r="10" spans="3:5" x14ac:dyDescent="0.45">
      <c r="D10" s="17"/>
      <c r="E10" s="17"/>
    </row>
    <row r="11" spans="3:5" ht="19.2" x14ac:dyDescent="0.45">
      <c r="C11" s="15" t="s">
        <v>54</v>
      </c>
    </row>
    <row r="13" spans="3:5" x14ac:dyDescent="0.45">
      <c r="C13" s="20" t="s">
        <v>88</v>
      </c>
      <c r="D13" s="20" t="s">
        <v>86</v>
      </c>
      <c r="E13" s="20" t="s">
        <v>87</v>
      </c>
    </row>
    <row r="14" spans="3:5" x14ac:dyDescent="0.45">
      <c r="C14" s="13" t="s">
        <v>94</v>
      </c>
      <c r="D14" s="18">
        <v>0</v>
      </c>
      <c r="E14" s="18">
        <v>0</v>
      </c>
    </row>
    <row r="15" spans="3:5" x14ac:dyDescent="0.45">
      <c r="D15" s="17"/>
      <c r="E15" s="17"/>
    </row>
    <row r="16" spans="3:5" x14ac:dyDescent="0.45">
      <c r="D16" s="17"/>
      <c r="E16" s="17"/>
    </row>
  </sheetData>
  <phoneticPr fontId="2"/>
  <pageMargins left="0.7" right="0.7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5:S24"/>
  <sheetViews>
    <sheetView workbookViewId="0"/>
  </sheetViews>
  <sheetFormatPr defaultRowHeight="18" x14ac:dyDescent="0.45"/>
  <cols>
    <col min="2" max="2" width="5.19921875" customWidth="1"/>
    <col min="4" max="4" width="11.19921875" customWidth="1"/>
    <col min="8" max="8" width="9.19921875" bestFit="1" customWidth="1"/>
    <col min="12" max="12" width="1.19921875" customWidth="1"/>
    <col min="13" max="13" width="8.69921875" customWidth="1"/>
    <col min="14" max="14" width="1.19921875" customWidth="1"/>
    <col min="17" max="17" width="1.19921875" customWidth="1"/>
  </cols>
  <sheetData>
    <row r="5" spans="2:19" x14ac:dyDescent="0.45">
      <c r="B5" s="29" t="s">
        <v>229</v>
      </c>
      <c r="C5" s="112"/>
      <c r="D5" s="113"/>
      <c r="E5" s="30" t="s">
        <v>230</v>
      </c>
      <c r="F5" s="31" t="s">
        <v>231</v>
      </c>
      <c r="G5" s="31" t="s">
        <v>232</v>
      </c>
      <c r="H5" s="31" t="s">
        <v>233</v>
      </c>
      <c r="K5" s="65" t="s">
        <v>230</v>
      </c>
      <c r="L5" s="65"/>
      <c r="M5" s="65" t="s">
        <v>231</v>
      </c>
      <c r="N5" s="65"/>
      <c r="O5" s="114" t="s">
        <v>232</v>
      </c>
      <c r="P5" s="114"/>
      <c r="Q5" s="65"/>
      <c r="R5" s="114" t="s">
        <v>233</v>
      </c>
      <c r="S5" s="114"/>
    </row>
    <row r="6" spans="2:19" x14ac:dyDescent="0.45">
      <c r="B6" s="31">
        <v>1</v>
      </c>
      <c r="C6" s="104" t="s">
        <v>234</v>
      </c>
      <c r="D6" s="105"/>
      <c r="E6" s="30">
        <v>1</v>
      </c>
      <c r="F6" s="31">
        <v>1</v>
      </c>
      <c r="G6" s="31">
        <v>1</v>
      </c>
      <c r="H6" s="31">
        <v>2</v>
      </c>
      <c r="K6" s="65" t="s">
        <v>235</v>
      </c>
      <c r="L6" s="65"/>
      <c r="M6" s="65" t="s">
        <v>235</v>
      </c>
      <c r="N6" s="65"/>
      <c r="O6" s="114" t="s">
        <v>236</v>
      </c>
      <c r="P6" s="114"/>
      <c r="Q6" s="65"/>
      <c r="R6" s="114" t="s">
        <v>236</v>
      </c>
      <c r="S6" s="114"/>
    </row>
    <row r="7" spans="2:19" x14ac:dyDescent="0.45">
      <c r="B7" s="31">
        <v>2</v>
      </c>
      <c r="C7" s="104" t="s">
        <v>237</v>
      </c>
      <c r="D7" s="105"/>
      <c r="E7" s="30">
        <v>1</v>
      </c>
      <c r="F7" s="31">
        <v>1</v>
      </c>
      <c r="G7" s="31">
        <v>2</v>
      </c>
      <c r="H7" s="31">
        <v>2</v>
      </c>
      <c r="O7" s="58" t="s">
        <v>238</v>
      </c>
      <c r="P7" s="59" t="s">
        <v>239</v>
      </c>
      <c r="R7" s="58" t="s">
        <v>238</v>
      </c>
      <c r="S7" s="59" t="s">
        <v>239</v>
      </c>
    </row>
    <row r="8" spans="2:19" x14ac:dyDescent="0.45">
      <c r="B8" s="106">
        <v>3</v>
      </c>
      <c r="C8" s="107" t="s">
        <v>240</v>
      </c>
      <c r="D8" s="31" t="s">
        <v>234</v>
      </c>
      <c r="E8" s="30">
        <v>1</v>
      </c>
      <c r="F8" s="31">
        <v>0.5</v>
      </c>
      <c r="G8" s="31">
        <v>0.5</v>
      </c>
      <c r="H8" s="31">
        <v>1</v>
      </c>
      <c r="I8" s="110" t="s">
        <v>202</v>
      </c>
      <c r="K8" s="29" t="s">
        <v>241</v>
      </c>
      <c r="L8" s="65"/>
      <c r="M8" s="29" t="s">
        <v>242</v>
      </c>
      <c r="N8" s="65"/>
      <c r="O8" s="29" t="s">
        <v>242</v>
      </c>
      <c r="P8" s="29"/>
      <c r="Q8" s="65"/>
      <c r="R8" s="29" t="s">
        <v>242</v>
      </c>
      <c r="S8" s="29" t="s">
        <v>204</v>
      </c>
    </row>
    <row r="9" spans="2:19" x14ac:dyDescent="0.45">
      <c r="B9" s="106"/>
      <c r="C9" s="108"/>
      <c r="D9" s="31" t="s">
        <v>205</v>
      </c>
      <c r="E9" s="30">
        <v>0</v>
      </c>
      <c r="F9" s="31">
        <v>0.5</v>
      </c>
      <c r="G9" s="31">
        <v>1</v>
      </c>
      <c r="H9" s="31">
        <v>1</v>
      </c>
      <c r="I9" s="111"/>
      <c r="K9" s="65"/>
      <c r="L9" s="65"/>
      <c r="M9" s="29" t="s">
        <v>206</v>
      </c>
      <c r="N9" s="65"/>
      <c r="O9" s="29" t="s">
        <v>206</v>
      </c>
      <c r="P9" s="29" t="s">
        <v>206</v>
      </c>
      <c r="Q9" s="65"/>
      <c r="R9" s="29" t="s">
        <v>206</v>
      </c>
      <c r="S9" s="29" t="s">
        <v>206</v>
      </c>
    </row>
    <row r="10" spans="2:19" x14ac:dyDescent="0.45">
      <c r="B10" s="106"/>
      <c r="C10" s="109"/>
      <c r="D10" s="31" t="s">
        <v>95</v>
      </c>
      <c r="E10" s="30">
        <f>SUM(E8:E9)</f>
        <v>1</v>
      </c>
      <c r="F10" s="31">
        <f t="shared" ref="F10:H10" si="0">SUM(F8:F9)</f>
        <v>1</v>
      </c>
      <c r="G10" s="31">
        <f t="shared" si="0"/>
        <v>1.5</v>
      </c>
      <c r="H10" s="31">
        <f t="shared" si="0"/>
        <v>2</v>
      </c>
      <c r="I10" s="111"/>
    </row>
    <row r="11" spans="2:19" x14ac:dyDescent="0.45">
      <c r="B11" s="106">
        <v>4</v>
      </c>
      <c r="C11" s="107" t="s">
        <v>243</v>
      </c>
      <c r="D11" s="31" t="s">
        <v>244</v>
      </c>
      <c r="E11" s="30">
        <v>1</v>
      </c>
      <c r="F11" s="31">
        <v>0.5</v>
      </c>
      <c r="G11" s="31">
        <v>0.5</v>
      </c>
      <c r="H11" s="31">
        <v>1</v>
      </c>
      <c r="I11" s="110" t="s">
        <v>207</v>
      </c>
      <c r="K11" s="29" t="s">
        <v>245</v>
      </c>
      <c r="L11" s="65"/>
      <c r="M11" s="29" t="s">
        <v>246</v>
      </c>
      <c r="N11" s="65"/>
      <c r="O11" s="29" t="s">
        <v>246</v>
      </c>
      <c r="P11" s="29"/>
      <c r="Q11" s="65"/>
      <c r="R11" s="29" t="s">
        <v>246</v>
      </c>
      <c r="S11" s="29" t="s">
        <v>246</v>
      </c>
    </row>
    <row r="12" spans="2:19" x14ac:dyDescent="0.45">
      <c r="B12" s="106"/>
      <c r="C12" s="108"/>
      <c r="D12" s="31" t="s">
        <v>247</v>
      </c>
      <c r="E12" s="30">
        <v>0</v>
      </c>
      <c r="F12" s="31">
        <v>1</v>
      </c>
      <c r="G12" s="31">
        <v>2</v>
      </c>
      <c r="H12" s="31">
        <v>2</v>
      </c>
      <c r="I12" s="111"/>
      <c r="K12" s="65"/>
      <c r="L12" s="65"/>
      <c r="M12" s="29" t="s">
        <v>248</v>
      </c>
      <c r="N12" s="65"/>
      <c r="O12" s="29" t="s">
        <v>248</v>
      </c>
      <c r="P12" s="29" t="s">
        <v>248</v>
      </c>
      <c r="Q12" s="65"/>
      <c r="R12" s="29" t="s">
        <v>248</v>
      </c>
      <c r="S12" s="29" t="s">
        <v>248</v>
      </c>
    </row>
    <row r="13" spans="2:19" x14ac:dyDescent="0.45">
      <c r="B13" s="106"/>
      <c r="C13" s="109"/>
      <c r="D13" s="31" t="s">
        <v>95</v>
      </c>
      <c r="E13" s="30">
        <f>SUM(E11:E12)</f>
        <v>1</v>
      </c>
      <c r="F13" s="31">
        <f t="shared" ref="F13:H13" si="1">SUM(F11:F12)</f>
        <v>1.5</v>
      </c>
      <c r="G13" s="31">
        <f t="shared" si="1"/>
        <v>2.5</v>
      </c>
      <c r="H13" s="31">
        <f t="shared" si="1"/>
        <v>3</v>
      </c>
      <c r="I13" s="111"/>
    </row>
    <row r="15" spans="2:19" x14ac:dyDescent="0.45">
      <c r="B15" t="s">
        <v>210</v>
      </c>
    </row>
    <row r="16" spans="2:19" x14ac:dyDescent="0.45">
      <c r="B16" t="s">
        <v>211</v>
      </c>
    </row>
    <row r="17" spans="2:6" x14ac:dyDescent="0.45">
      <c r="C17" t="s">
        <v>212</v>
      </c>
    </row>
    <row r="18" spans="2:6" x14ac:dyDescent="0.45">
      <c r="C18" s="73" t="s">
        <v>213</v>
      </c>
    </row>
    <row r="19" spans="2:6" x14ac:dyDescent="0.45">
      <c r="C19" s="60" t="s">
        <v>249</v>
      </c>
    </row>
    <row r="20" spans="2:6" x14ac:dyDescent="0.45">
      <c r="C20" s="60" t="s">
        <v>250</v>
      </c>
    </row>
    <row r="21" spans="2:6" x14ac:dyDescent="0.45">
      <c r="C21" s="60"/>
    </row>
    <row r="22" spans="2:6" x14ac:dyDescent="0.45">
      <c r="B22" t="s">
        <v>214</v>
      </c>
    </row>
    <row r="23" spans="2:6" x14ac:dyDescent="0.45">
      <c r="C23" t="s">
        <v>215</v>
      </c>
    </row>
    <row r="24" spans="2:6" x14ac:dyDescent="0.45">
      <c r="C24" t="s">
        <v>216</v>
      </c>
      <c r="E24" s="61"/>
      <c r="F24" s="62"/>
    </row>
  </sheetData>
  <mergeCells count="13">
    <mergeCell ref="C5:D5"/>
    <mergeCell ref="O5:P5"/>
    <mergeCell ref="R5:S5"/>
    <mergeCell ref="C6:D6"/>
    <mergeCell ref="O6:P6"/>
    <mergeCell ref="R6:S6"/>
    <mergeCell ref="C7:D7"/>
    <mergeCell ref="B8:B10"/>
    <mergeCell ref="C8:C10"/>
    <mergeCell ref="I8:I10"/>
    <mergeCell ref="B11:B13"/>
    <mergeCell ref="C11:C13"/>
    <mergeCell ref="I11:I13"/>
  </mergeCells>
  <phoneticPr fontId="2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3:Q16"/>
  <sheetViews>
    <sheetView workbookViewId="0"/>
  </sheetViews>
  <sheetFormatPr defaultRowHeight="18" x14ac:dyDescent="0.45"/>
  <cols>
    <col min="2" max="2" width="5.19921875" customWidth="1"/>
    <col min="4" max="4" width="11.19921875" customWidth="1"/>
    <col min="8" max="8" width="9.19921875" bestFit="1" customWidth="1"/>
    <col min="12" max="12" width="1.19921875" customWidth="1"/>
    <col min="13" max="13" width="8.69921875" customWidth="1"/>
    <col min="14" max="14" width="1.19921875" customWidth="1"/>
    <col min="16" max="16" width="1.19921875" customWidth="1"/>
  </cols>
  <sheetData>
    <row r="3" spans="2:17" x14ac:dyDescent="0.45">
      <c r="B3" t="s">
        <v>251</v>
      </c>
    </row>
    <row r="5" spans="2:17" x14ac:dyDescent="0.45">
      <c r="B5" t="s">
        <v>252</v>
      </c>
    </row>
    <row r="6" spans="2:17" x14ac:dyDescent="0.45">
      <c r="C6" t="s">
        <v>253</v>
      </c>
    </row>
    <row r="8" spans="2:17" x14ac:dyDescent="0.45">
      <c r="B8" s="29" t="s">
        <v>194</v>
      </c>
      <c r="C8" s="112"/>
      <c r="D8" s="113"/>
      <c r="E8" s="30" t="s">
        <v>195</v>
      </c>
      <c r="F8" s="31" t="s">
        <v>196</v>
      </c>
      <c r="G8" s="31" t="s">
        <v>197</v>
      </c>
      <c r="H8" s="31" t="s">
        <v>198</v>
      </c>
      <c r="K8" s="65" t="s">
        <v>195</v>
      </c>
      <c r="L8" s="65"/>
      <c r="M8" s="65" t="s">
        <v>196</v>
      </c>
      <c r="N8" s="65"/>
      <c r="O8" s="65" t="s">
        <v>197</v>
      </c>
      <c r="P8" s="65"/>
      <c r="Q8" s="65" t="s">
        <v>198</v>
      </c>
    </row>
    <row r="9" spans="2:17" x14ac:dyDescent="0.45">
      <c r="B9" s="31">
        <v>1</v>
      </c>
      <c r="C9" s="104" t="s">
        <v>254</v>
      </c>
      <c r="D9" s="105"/>
      <c r="E9" s="30">
        <v>1</v>
      </c>
      <c r="F9" s="31">
        <v>1</v>
      </c>
      <c r="G9" s="31">
        <v>1</v>
      </c>
      <c r="H9" s="74">
        <v>1</v>
      </c>
      <c r="K9" s="65" t="s">
        <v>199</v>
      </c>
      <c r="L9" s="65"/>
      <c r="M9" s="65" t="s">
        <v>199</v>
      </c>
      <c r="N9" s="65"/>
      <c r="O9" s="65" t="s">
        <v>199</v>
      </c>
      <c r="P9" s="65"/>
      <c r="Q9" s="65" t="s">
        <v>199</v>
      </c>
    </row>
    <row r="10" spans="2:17" x14ac:dyDescent="0.45">
      <c r="B10" s="31">
        <v>2</v>
      </c>
      <c r="C10" s="104" t="s">
        <v>200</v>
      </c>
      <c r="D10" s="105"/>
      <c r="E10" s="30">
        <v>1</v>
      </c>
      <c r="F10" s="31">
        <v>1</v>
      </c>
      <c r="G10" s="74">
        <v>1</v>
      </c>
      <c r="H10" s="74">
        <v>1</v>
      </c>
      <c r="O10" s="58"/>
      <c r="Q10" s="58"/>
    </row>
    <row r="11" spans="2:17" x14ac:dyDescent="0.45">
      <c r="B11" s="106">
        <v>3</v>
      </c>
      <c r="C11" s="107" t="s">
        <v>201</v>
      </c>
      <c r="D11" s="31" t="s">
        <v>254</v>
      </c>
      <c r="E11" s="30">
        <v>1</v>
      </c>
      <c r="F11" s="31">
        <v>0.5</v>
      </c>
      <c r="G11" s="31">
        <v>0.5</v>
      </c>
      <c r="H11" s="75">
        <v>0.5</v>
      </c>
      <c r="I11" s="110" t="s">
        <v>202</v>
      </c>
      <c r="K11" s="29" t="s">
        <v>203</v>
      </c>
      <c r="L11" s="65"/>
      <c r="M11" s="29" t="s">
        <v>204</v>
      </c>
      <c r="N11" s="65"/>
      <c r="O11" s="29" t="s">
        <v>204</v>
      </c>
      <c r="P11" s="65"/>
      <c r="Q11" s="29" t="s">
        <v>204</v>
      </c>
    </row>
    <row r="12" spans="2:17" x14ac:dyDescent="0.45">
      <c r="B12" s="106"/>
      <c r="C12" s="108"/>
      <c r="D12" s="31" t="s">
        <v>205</v>
      </c>
      <c r="E12" s="30">
        <v>0</v>
      </c>
      <c r="F12" s="31">
        <v>0.5</v>
      </c>
      <c r="G12" s="75">
        <v>0.5</v>
      </c>
      <c r="H12" s="75">
        <v>0.5</v>
      </c>
      <c r="I12" s="111"/>
      <c r="K12" s="65"/>
      <c r="L12" s="65"/>
      <c r="M12" s="29" t="s">
        <v>206</v>
      </c>
      <c r="N12" s="65"/>
      <c r="O12" s="29" t="s">
        <v>206</v>
      </c>
      <c r="P12" s="65"/>
      <c r="Q12" s="29" t="s">
        <v>206</v>
      </c>
    </row>
    <row r="13" spans="2:17" x14ac:dyDescent="0.45">
      <c r="B13" s="106"/>
      <c r="C13" s="109"/>
      <c r="D13" s="31" t="s">
        <v>95</v>
      </c>
      <c r="E13" s="30">
        <f>SUM(E11:E12)</f>
        <v>1</v>
      </c>
      <c r="F13" s="31">
        <f t="shared" ref="F13:H13" si="0">SUM(F11:F12)</f>
        <v>1</v>
      </c>
      <c r="G13" s="75">
        <f t="shared" si="0"/>
        <v>1</v>
      </c>
      <c r="H13" s="75">
        <f t="shared" si="0"/>
        <v>1</v>
      </c>
      <c r="I13" s="111"/>
    </row>
    <row r="14" spans="2:17" x14ac:dyDescent="0.45">
      <c r="B14" s="106">
        <v>4</v>
      </c>
      <c r="C14" s="107" t="s">
        <v>201</v>
      </c>
      <c r="D14" s="31" t="s">
        <v>254</v>
      </c>
      <c r="E14" s="30">
        <v>1</v>
      </c>
      <c r="F14" s="31">
        <v>0.5</v>
      </c>
      <c r="G14" s="31">
        <v>0.5</v>
      </c>
      <c r="H14" s="74">
        <v>0.5</v>
      </c>
      <c r="I14" s="110" t="s">
        <v>207</v>
      </c>
      <c r="K14" s="29" t="s">
        <v>203</v>
      </c>
      <c r="L14" s="65"/>
      <c r="M14" s="29" t="s">
        <v>204</v>
      </c>
      <c r="N14" s="65"/>
      <c r="O14" s="29" t="s">
        <v>204</v>
      </c>
      <c r="P14" s="65"/>
      <c r="Q14" s="29" t="s">
        <v>204</v>
      </c>
    </row>
    <row r="15" spans="2:17" x14ac:dyDescent="0.45">
      <c r="B15" s="106"/>
      <c r="C15" s="108"/>
      <c r="D15" s="31" t="s">
        <v>208</v>
      </c>
      <c r="E15" s="30">
        <v>0</v>
      </c>
      <c r="F15" s="31">
        <v>1</v>
      </c>
      <c r="G15" s="75">
        <v>1</v>
      </c>
      <c r="H15" s="75">
        <v>1</v>
      </c>
      <c r="I15" s="111"/>
      <c r="K15" s="65"/>
      <c r="L15" s="65"/>
      <c r="M15" s="29" t="s">
        <v>209</v>
      </c>
      <c r="N15" s="65"/>
      <c r="O15" s="29" t="s">
        <v>209</v>
      </c>
      <c r="P15" s="65"/>
      <c r="Q15" s="29" t="s">
        <v>209</v>
      </c>
    </row>
    <row r="16" spans="2:17" x14ac:dyDescent="0.45">
      <c r="B16" s="106"/>
      <c r="C16" s="109"/>
      <c r="D16" s="31" t="s">
        <v>95</v>
      </c>
      <c r="E16" s="30">
        <f>SUM(E14:E15)</f>
        <v>1</v>
      </c>
      <c r="F16" s="31">
        <f t="shared" ref="F16:H16" si="1">SUM(F14:F15)</f>
        <v>1.5</v>
      </c>
      <c r="G16" s="75">
        <f t="shared" si="1"/>
        <v>1.5</v>
      </c>
      <c r="H16" s="74">
        <f t="shared" si="1"/>
        <v>1.5</v>
      </c>
      <c r="I16" s="111"/>
    </row>
  </sheetData>
  <mergeCells count="9">
    <mergeCell ref="B14:B16"/>
    <mergeCell ref="C14:C16"/>
    <mergeCell ref="I14:I16"/>
    <mergeCell ref="C8:D8"/>
    <mergeCell ref="C9:D9"/>
    <mergeCell ref="C10:D10"/>
    <mergeCell ref="B11:B13"/>
    <mergeCell ref="C11:C13"/>
    <mergeCell ref="I11:I13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3:Q23"/>
  <sheetViews>
    <sheetView zoomScale="80" zoomScaleNormal="80" workbookViewId="0"/>
  </sheetViews>
  <sheetFormatPr defaultColWidth="8.69921875" defaultRowHeight="18" x14ac:dyDescent="0.45"/>
  <cols>
    <col min="1" max="2" width="8.69921875" style="32"/>
    <col min="3" max="4" width="14.69921875" style="32" customWidth="1"/>
    <col min="5" max="7" width="14.09765625" style="32" customWidth="1"/>
    <col min="8" max="9" width="13" style="43" customWidth="1"/>
    <col min="10" max="10" width="14.5" style="32" customWidth="1"/>
    <col min="11" max="11" width="31.69921875" style="32" customWidth="1"/>
    <col min="12" max="14" width="8.69921875" style="32"/>
    <col min="15" max="15" width="10" style="32" customWidth="1"/>
    <col min="16" max="16" width="12" style="32" customWidth="1"/>
    <col min="17" max="17" width="10.3984375" style="32" customWidth="1"/>
    <col min="18" max="16384" width="8.69921875" style="32"/>
  </cols>
  <sheetData>
    <row r="3" spans="3:17" x14ac:dyDescent="0.45">
      <c r="C3" s="115" t="s">
        <v>96</v>
      </c>
      <c r="D3" s="115" t="s">
        <v>97</v>
      </c>
      <c r="E3" s="115" t="s">
        <v>98</v>
      </c>
      <c r="F3" s="115"/>
      <c r="G3" s="115"/>
      <c r="H3" s="115" t="s">
        <v>99</v>
      </c>
      <c r="I3" s="117" t="s">
        <v>100</v>
      </c>
      <c r="J3" s="115" t="s">
        <v>101</v>
      </c>
      <c r="K3" s="115"/>
      <c r="L3" s="115" t="s">
        <v>102</v>
      </c>
      <c r="M3" s="115"/>
      <c r="N3" s="115"/>
      <c r="O3" s="115"/>
      <c r="P3" s="115"/>
      <c r="Q3" s="115"/>
    </row>
    <row r="4" spans="3:17" ht="18.600000000000001" thickBot="1" x14ac:dyDescent="0.5">
      <c r="C4" s="116"/>
      <c r="D4" s="116"/>
      <c r="E4" s="33" t="s">
        <v>103</v>
      </c>
      <c r="F4" s="33" t="s">
        <v>104</v>
      </c>
      <c r="G4" s="34" t="s">
        <v>105</v>
      </c>
      <c r="H4" s="116"/>
      <c r="I4" s="118"/>
      <c r="J4" s="116"/>
      <c r="K4" s="116"/>
      <c r="L4" s="34" t="s">
        <v>106</v>
      </c>
      <c r="M4" s="34" t="s">
        <v>107</v>
      </c>
      <c r="N4" s="34" t="s">
        <v>108</v>
      </c>
      <c r="O4" s="34" t="s">
        <v>109</v>
      </c>
      <c r="P4" s="34" t="s">
        <v>110</v>
      </c>
      <c r="Q4" s="34" t="s">
        <v>111</v>
      </c>
    </row>
    <row r="5" spans="3:17" ht="23.4" customHeight="1" thickTop="1" x14ac:dyDescent="0.45">
      <c r="C5" s="35" t="s">
        <v>112</v>
      </c>
      <c r="D5" s="35" t="s">
        <v>113</v>
      </c>
      <c r="E5" s="36" t="s">
        <v>114</v>
      </c>
      <c r="F5" s="36"/>
      <c r="G5" s="37"/>
      <c r="H5" s="38" t="s">
        <v>115</v>
      </c>
      <c r="I5" s="38" t="s">
        <v>116</v>
      </c>
      <c r="J5" s="35" t="s">
        <v>117</v>
      </c>
      <c r="K5" s="35" t="s">
        <v>118</v>
      </c>
      <c r="L5" s="35">
        <v>1</v>
      </c>
      <c r="M5" s="35"/>
      <c r="N5" s="35"/>
      <c r="O5" s="35" t="s">
        <v>119</v>
      </c>
      <c r="P5" s="35"/>
      <c r="Q5" s="35" t="s">
        <v>120</v>
      </c>
    </row>
    <row r="6" spans="3:17" ht="23.4" customHeight="1" x14ac:dyDescent="0.45">
      <c r="C6" s="39" t="s">
        <v>121</v>
      </c>
      <c r="D6" s="39" t="s">
        <v>113</v>
      </c>
      <c r="E6" s="40"/>
      <c r="F6" s="41" t="s">
        <v>114</v>
      </c>
      <c r="G6" s="41"/>
      <c r="H6" s="42" t="s">
        <v>115</v>
      </c>
      <c r="I6" s="42" t="s">
        <v>122</v>
      </c>
      <c r="J6" s="39" t="s">
        <v>123</v>
      </c>
      <c r="K6" s="39" t="s">
        <v>118</v>
      </c>
      <c r="L6" s="39">
        <v>1</v>
      </c>
      <c r="M6" s="39"/>
      <c r="N6" s="39"/>
      <c r="O6" s="39" t="s">
        <v>124</v>
      </c>
      <c r="P6" s="39" t="s">
        <v>125</v>
      </c>
      <c r="Q6" s="39" t="s">
        <v>120</v>
      </c>
    </row>
    <row r="7" spans="3:17" ht="23.4" customHeight="1" x14ac:dyDescent="0.45">
      <c r="C7" s="39" t="s">
        <v>112</v>
      </c>
      <c r="D7" s="39" t="s">
        <v>113</v>
      </c>
      <c r="E7" s="40"/>
      <c r="F7" s="41"/>
      <c r="G7" s="41" t="s">
        <v>126</v>
      </c>
      <c r="H7" s="42" t="s">
        <v>115</v>
      </c>
      <c r="I7" s="42" t="s">
        <v>127</v>
      </c>
      <c r="J7" s="39" t="s">
        <v>128</v>
      </c>
      <c r="K7" s="39" t="s">
        <v>118</v>
      </c>
      <c r="L7" s="39">
        <v>2</v>
      </c>
      <c r="M7" s="39"/>
      <c r="N7" s="39"/>
      <c r="O7" s="39" t="s">
        <v>124</v>
      </c>
      <c r="P7" s="39" t="s">
        <v>125</v>
      </c>
      <c r="Q7" s="39" t="s">
        <v>129</v>
      </c>
    </row>
    <row r="8" spans="3:17" ht="23.4" customHeight="1" x14ac:dyDescent="0.45">
      <c r="C8" s="39" t="s">
        <v>130</v>
      </c>
      <c r="D8" s="39" t="s">
        <v>113</v>
      </c>
      <c r="E8" s="40" t="s">
        <v>126</v>
      </c>
      <c r="F8" s="40"/>
      <c r="G8" s="41"/>
      <c r="H8" s="42" t="s">
        <v>131</v>
      </c>
      <c r="I8" s="42" t="s">
        <v>107</v>
      </c>
      <c r="J8" s="39" t="s">
        <v>117</v>
      </c>
      <c r="K8" s="39" t="s">
        <v>132</v>
      </c>
      <c r="L8" s="39">
        <v>1</v>
      </c>
      <c r="M8" s="39">
        <v>1</v>
      </c>
      <c r="N8" s="39"/>
      <c r="O8" s="39" t="s">
        <v>133</v>
      </c>
      <c r="P8" s="39"/>
      <c r="Q8" s="39" t="s">
        <v>129</v>
      </c>
    </row>
    <row r="9" spans="3:17" ht="23.4" customHeight="1" x14ac:dyDescent="0.45">
      <c r="C9" s="39" t="s">
        <v>134</v>
      </c>
      <c r="D9" s="39" t="s">
        <v>113</v>
      </c>
      <c r="E9" s="40"/>
      <c r="F9" s="41" t="s">
        <v>114</v>
      </c>
      <c r="G9" s="41"/>
      <c r="H9" s="42" t="s">
        <v>131</v>
      </c>
      <c r="I9" s="42" t="s">
        <v>107</v>
      </c>
      <c r="J9" s="39" t="s">
        <v>135</v>
      </c>
      <c r="K9" s="39" t="s">
        <v>136</v>
      </c>
      <c r="L9" s="39">
        <v>1</v>
      </c>
      <c r="M9" s="39">
        <v>1</v>
      </c>
      <c r="N9" s="39"/>
      <c r="O9" s="39" t="s">
        <v>137</v>
      </c>
      <c r="P9" s="39" t="s">
        <v>125</v>
      </c>
      <c r="Q9" s="39" t="s">
        <v>129</v>
      </c>
    </row>
    <row r="10" spans="3:17" ht="23.4" customHeight="1" x14ac:dyDescent="0.45">
      <c r="C10" s="39" t="s">
        <v>121</v>
      </c>
      <c r="D10" s="39" t="s">
        <v>113</v>
      </c>
      <c r="E10" s="40"/>
      <c r="F10" s="41"/>
      <c r="G10" s="41" t="s">
        <v>138</v>
      </c>
      <c r="H10" s="42" t="s">
        <v>131</v>
      </c>
      <c r="I10" s="42" t="s">
        <v>139</v>
      </c>
      <c r="J10" s="39" t="s">
        <v>140</v>
      </c>
      <c r="K10" s="39" t="s">
        <v>141</v>
      </c>
      <c r="L10" s="39">
        <v>2</v>
      </c>
      <c r="M10" s="39">
        <v>2</v>
      </c>
      <c r="N10" s="39"/>
      <c r="O10" s="39" t="s">
        <v>137</v>
      </c>
      <c r="P10" s="39" t="s">
        <v>125</v>
      </c>
      <c r="Q10" s="39" t="s">
        <v>125</v>
      </c>
    </row>
    <row r="11" spans="3:17" ht="23.4" customHeight="1" x14ac:dyDescent="0.45">
      <c r="C11" s="39" t="s">
        <v>112</v>
      </c>
      <c r="D11" s="39" t="s">
        <v>142</v>
      </c>
      <c r="E11" s="41" t="s">
        <v>126</v>
      </c>
      <c r="F11" s="41"/>
      <c r="G11" s="41"/>
      <c r="H11" s="42" t="s">
        <v>143</v>
      </c>
      <c r="I11" s="42" t="s">
        <v>144</v>
      </c>
      <c r="J11" s="39" t="s">
        <v>117</v>
      </c>
      <c r="K11" s="39" t="s">
        <v>145</v>
      </c>
      <c r="L11" s="39">
        <v>1</v>
      </c>
      <c r="M11" s="39">
        <v>2</v>
      </c>
      <c r="N11" s="39"/>
      <c r="O11" s="39" t="s">
        <v>146</v>
      </c>
      <c r="P11" s="39"/>
      <c r="Q11" s="39" t="s">
        <v>129</v>
      </c>
    </row>
    <row r="12" spans="3:17" ht="23.4" customHeight="1" x14ac:dyDescent="0.45">
      <c r="C12" s="39" t="s">
        <v>112</v>
      </c>
      <c r="D12" s="39" t="s">
        <v>147</v>
      </c>
      <c r="E12" s="41"/>
      <c r="F12" s="41" t="s">
        <v>148</v>
      </c>
      <c r="G12" s="41"/>
      <c r="H12" s="42" t="s">
        <v>143</v>
      </c>
      <c r="I12" s="42" t="s">
        <v>144</v>
      </c>
      <c r="J12" s="39" t="s">
        <v>149</v>
      </c>
      <c r="K12" s="39" t="s">
        <v>150</v>
      </c>
      <c r="L12" s="39">
        <v>1</v>
      </c>
      <c r="M12" s="39">
        <v>2</v>
      </c>
      <c r="N12" s="39"/>
      <c r="O12" s="39" t="s">
        <v>137</v>
      </c>
      <c r="P12" s="39" t="s">
        <v>125</v>
      </c>
      <c r="Q12" s="39" t="s">
        <v>129</v>
      </c>
    </row>
    <row r="13" spans="3:17" ht="23.4" customHeight="1" x14ac:dyDescent="0.45">
      <c r="C13" s="39" t="s">
        <v>151</v>
      </c>
      <c r="D13" s="39" t="s">
        <v>152</v>
      </c>
      <c r="E13" s="41"/>
      <c r="F13" s="41"/>
      <c r="G13" s="41" t="s">
        <v>148</v>
      </c>
      <c r="H13" s="42" t="s">
        <v>153</v>
      </c>
      <c r="I13" s="42" t="s">
        <v>144</v>
      </c>
      <c r="J13" s="39" t="s">
        <v>128</v>
      </c>
      <c r="K13" s="39" t="s">
        <v>150</v>
      </c>
      <c r="L13" s="39">
        <v>2</v>
      </c>
      <c r="M13" s="39">
        <v>3</v>
      </c>
      <c r="N13" s="39"/>
      <c r="O13" s="39" t="s">
        <v>154</v>
      </c>
      <c r="P13" s="39" t="s">
        <v>125</v>
      </c>
      <c r="Q13" s="39" t="s">
        <v>125</v>
      </c>
    </row>
    <row r="14" spans="3:17" ht="23.4" customHeight="1" x14ac:dyDescent="0.45">
      <c r="C14" s="39" t="s">
        <v>155</v>
      </c>
      <c r="D14" s="39" t="s">
        <v>142</v>
      </c>
      <c r="E14" s="41" t="s">
        <v>114</v>
      </c>
      <c r="F14" s="41"/>
      <c r="G14" s="41"/>
      <c r="H14" s="42" t="s">
        <v>156</v>
      </c>
      <c r="I14" s="42" t="s">
        <v>107</v>
      </c>
      <c r="J14" s="39" t="s">
        <v>117</v>
      </c>
      <c r="K14" s="39" t="s">
        <v>157</v>
      </c>
      <c r="L14" s="39">
        <v>2</v>
      </c>
      <c r="M14" s="39">
        <v>2</v>
      </c>
      <c r="N14" s="39">
        <v>1</v>
      </c>
      <c r="O14" s="39" t="s">
        <v>146</v>
      </c>
      <c r="P14" s="39"/>
      <c r="Q14" s="39" t="s">
        <v>129</v>
      </c>
    </row>
    <row r="15" spans="3:17" ht="23.4" customHeight="1" x14ac:dyDescent="0.45">
      <c r="C15" s="39" t="s">
        <v>158</v>
      </c>
      <c r="D15" s="39" t="s">
        <v>159</v>
      </c>
      <c r="E15" s="41"/>
      <c r="F15" s="41" t="s">
        <v>126</v>
      </c>
      <c r="G15" s="41"/>
      <c r="H15" s="42" t="s">
        <v>156</v>
      </c>
      <c r="I15" s="42" t="s">
        <v>107</v>
      </c>
      <c r="J15" s="39" t="s">
        <v>160</v>
      </c>
      <c r="K15" s="39" t="s">
        <v>161</v>
      </c>
      <c r="L15" s="39">
        <v>2</v>
      </c>
      <c r="M15" s="39">
        <v>2</v>
      </c>
      <c r="N15" s="39">
        <v>1</v>
      </c>
      <c r="O15" s="39" t="s">
        <v>124</v>
      </c>
      <c r="P15" s="39" t="s">
        <v>125</v>
      </c>
      <c r="Q15" s="39" t="s">
        <v>129</v>
      </c>
    </row>
    <row r="16" spans="3:17" ht="23.4" customHeight="1" x14ac:dyDescent="0.45">
      <c r="C16" s="39" t="s">
        <v>162</v>
      </c>
      <c r="D16" s="39" t="s">
        <v>147</v>
      </c>
      <c r="E16" s="41"/>
      <c r="F16" s="41"/>
      <c r="G16" s="41" t="s">
        <v>126</v>
      </c>
      <c r="H16" s="42" t="s">
        <v>156</v>
      </c>
      <c r="I16" s="42" t="s">
        <v>144</v>
      </c>
      <c r="J16" s="39" t="s">
        <v>128</v>
      </c>
      <c r="K16" s="39" t="s">
        <v>161</v>
      </c>
      <c r="L16" s="39">
        <v>3</v>
      </c>
      <c r="M16" s="39">
        <v>3</v>
      </c>
      <c r="N16" s="39">
        <v>1</v>
      </c>
      <c r="O16" s="39" t="s">
        <v>163</v>
      </c>
      <c r="P16" s="39" t="s">
        <v>125</v>
      </c>
      <c r="Q16" s="39" t="s">
        <v>125</v>
      </c>
    </row>
    <row r="19" spans="3:3" x14ac:dyDescent="0.45">
      <c r="C19" s="32" t="s">
        <v>164</v>
      </c>
    </row>
    <row r="22" spans="3:3" x14ac:dyDescent="0.45">
      <c r="C22" s="32" t="s">
        <v>165</v>
      </c>
    </row>
    <row r="23" spans="3:3" x14ac:dyDescent="0.45">
      <c r="C23" s="32" t="s">
        <v>166</v>
      </c>
    </row>
  </sheetData>
  <mergeCells count="8">
    <mergeCell ref="K3:K4"/>
    <mergeCell ref="L3:Q3"/>
    <mergeCell ref="C3:C4"/>
    <mergeCell ref="D3:D4"/>
    <mergeCell ref="E3:G3"/>
    <mergeCell ref="H3:H4"/>
    <mergeCell ref="I3:I4"/>
    <mergeCell ref="J3:J4"/>
  </mergeCells>
  <phoneticPr fontId="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A32A844089AACF45A6CD0305E6EE3946" ma:contentTypeVersion="10" ma:contentTypeDescription="新しいドキュメントを作成します。" ma:contentTypeScope="" ma:versionID="217584ef24d14abf2779d8507e8a683c">
  <xsd:schema xmlns:xsd="http://www.w3.org/2001/XMLSchema" xmlns:xs="http://www.w3.org/2001/XMLSchema" xmlns:p="http://schemas.microsoft.com/office/2006/metadata/properties" xmlns:ns1="http://schemas.microsoft.com/sharepoint/v3" targetNamespace="http://schemas.microsoft.com/office/2006/metadata/properties" ma:root="true" ma:fieldsID="45fa4fb91fa55c33976a2d5845a0b836" ns1:_="">
    <xsd:import namespace="http://schemas.microsoft.com/sharepoint/v3"/>
    <xsd:element name="properties">
      <xsd:complexType>
        <xsd:sequence>
          <xsd:element name="documentManagement">
            <xsd:complexType>
              <xsd:all>
                <xsd:element ref="ns1:AverageRating" minOccurs="0"/>
                <xsd:element ref="ns1:RatingCount" minOccurs="0"/>
                <xsd:element ref="ns1:RatedBy" minOccurs="0"/>
                <xsd:element ref="ns1:Ratings" minOccurs="0"/>
                <xsd:element ref="ns1:LikesCount" minOccurs="0"/>
                <xsd:element ref="ns1:LikedB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AverageRating" ma:index="8" nillable="true" ma:displayName="評価 (0 ～ 5)" ma:decimals="2" ma:description="送信されたすべての評価の平均値" ma:internalName="AverageRating" ma:readOnly="true">
      <xsd:simpleType>
        <xsd:restriction base="dms:Number"/>
      </xsd:simpleType>
    </xsd:element>
    <xsd:element name="RatingCount" ma:index="9" nillable="true" ma:displayName="評価の数" ma:decimals="0" ma:description="送信された評価の数" ma:internalName="RatingCount" ma:readOnly="true">
      <xsd:simpleType>
        <xsd:restriction base="dms:Number"/>
      </xsd:simpleType>
    </xsd:element>
    <xsd:element name="RatedBy" ma:index="10" nillable="true" ma:displayName="評価者" ma:description="アイテムを評価したユーザーです。" ma:hidden="true" ma:list="UserInfo" ma:internalName="Rat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atings" ma:index="11" nillable="true" ma:displayName="ユーザーの評価" ma:description="ユーザーによるアイテムの評価です。" ma:hidden="true" ma:internalName="Ratings">
      <xsd:simpleType>
        <xsd:restriction base="dms:Note"/>
      </xsd:simpleType>
    </xsd:element>
    <xsd:element name="LikesCount" ma:index="12" nillable="true" ma:displayName="「いいね!」の数" ma:internalName="LikesCount">
      <xsd:simpleType>
        <xsd:restriction base="dms:Unknown"/>
      </xsd:simpleType>
    </xsd:element>
    <xsd:element name="LikedBy" ma:index="13" nillable="true" ma:displayName="「いいね!」と評価したメンバー" ma:hidden="true" ma:list="UserInfo" ma:internalName="Lik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 ma:readOnly="true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ikesCount xmlns="http://schemas.microsoft.com/sharepoint/v3" xsi:nil="true"/>
    <Ratings xmlns="http://schemas.microsoft.com/sharepoint/v3" xsi:nil="true"/>
    <LikedBy xmlns="http://schemas.microsoft.com/sharepoint/v3">
      <UserInfo>
        <DisplayName/>
        <AccountId xsi:nil="true"/>
        <AccountType/>
      </UserInfo>
    </LikedBy>
    <RatedBy xmlns="http://schemas.microsoft.com/sharepoint/v3">
      <UserInfo>
        <DisplayName/>
        <AccountId xsi:nil="true"/>
        <AccountType/>
      </UserInfo>
    </RatedBy>
  </documentManagement>
</p:properties>
</file>

<file path=customXml/itemProps1.xml><?xml version="1.0" encoding="utf-8"?>
<ds:datastoreItem xmlns:ds="http://schemas.openxmlformats.org/officeDocument/2006/customXml" ds:itemID="{8C7CA0E2-5289-43B6-877F-D34AA4DB196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72E0D83-969A-4945-ACE0-BD9B4DC046D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5710FE4-E887-4531-B9A2-194B453E146F}">
  <ds:schemaRefs>
    <ds:schemaRef ds:uri="http://purl.org/dc/elements/1.1/"/>
    <ds:schemaRef ds:uri="http://schemas.microsoft.com/office/2006/metadata/properties"/>
    <ds:schemaRef ds:uri="http://schemas.microsoft.com/sharepoint/v3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</vt:i4>
      </vt:variant>
    </vt:vector>
  </HeadingPairs>
  <TitlesOfParts>
    <vt:vector size="9" baseType="lpstr">
      <vt:lpstr>20171117_仕訳結果</vt:lpstr>
      <vt:lpstr>⑥コストシミュレーション表</vt:lpstr>
      <vt:lpstr>コストシミュレーション表</vt:lpstr>
      <vt:lpstr>コスト一覧</vt:lpstr>
      <vt:lpstr>⑦その他費用</vt:lpstr>
      <vt:lpstr>構成パターン比率</vt:lpstr>
      <vt:lpstr>構成パターン比率 (DR版)</vt:lpstr>
      <vt:lpstr>構成決定チェックシート</vt:lpstr>
      <vt:lpstr>⑥コストシミュレーション表!Print_Area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kubota.kaoru</dc:creator>
  <cp:lastModifiedBy>黄 逢源</cp:lastModifiedBy>
  <cp:lastPrinted>2019-10-17T08:13:11Z</cp:lastPrinted>
  <dcterms:created xsi:type="dcterms:W3CDTF">2017-10-18T00:51:52Z</dcterms:created>
  <dcterms:modified xsi:type="dcterms:W3CDTF">2019-10-30T08:16:58Z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0x010100A32A844089AACF45A6CD0305E6EE3946</vt:lpwstr>
  </property>
</Properties>
</file>